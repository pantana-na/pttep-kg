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6006074\Desktop\"/>
    </mc:Choice>
  </mc:AlternateContent>
  <xr:revisionPtr revIDLastSave="0" documentId="13_ncr:1_{37C4F70A-DBD9-4585-A1C0-1300BEC46192}" xr6:coauthVersionLast="47" xr6:coauthVersionMax="47" xr10:uidLastSave="{00000000-0000-0000-0000-000000000000}"/>
  <bookViews>
    <workbookView xWindow="-30828" yWindow="-108" windowWidth="30936" windowHeight="16776" tabRatio="753" firstSheet="11" activeTab="11" xr2:uid="{00000000-000D-0000-FFFF-FFFF00000000}"/>
  </bookViews>
  <sheets>
    <sheet name="metadata" sheetId="1" state="hidden" r:id="rId1"/>
    <sheet name="RiskRank" sheetId="4" state="hidden" r:id="rId2"/>
    <sheet name="Worksheet HAZOP-TPL_TLM" sheetId="25" state="hidden" r:id="rId3"/>
    <sheet name="Worksheet HAZOP-TPL" sheetId="17" state="hidden" r:id="rId4"/>
    <sheet name="Action Items-TPL" sheetId="22" state="hidden" r:id="rId5"/>
    <sheet name="GWMaster" sheetId="39" state="hidden" r:id="rId6"/>
    <sheet name="RiskMatrixMaster" sheetId="40" state="hidden" r:id="rId7"/>
    <sheet name="Worksheet NoCode" sheetId="26" state="hidden" r:id="rId8"/>
    <sheet name="P5-PID-Marked up Node" sheetId="9" state="hidden" r:id="rId9"/>
    <sheet name="oldP6-Worksheet HAZOP-Node1" sheetId="10" state="hidden" r:id="rId10"/>
    <sheet name="oldP7-Action Items" sheetId="11" state="hidden" r:id="rId11"/>
    <sheet name="Risk Ranking" sheetId="12" r:id="rId12"/>
  </sheets>
  <functionGroups builtInGroupCount="19"/>
  <definedNames>
    <definedName name="ActionByName1">'oldP7-Action Items'!$F$10:$F$29</definedName>
    <definedName name="ActionItem_MoCNo">#REF!</definedName>
    <definedName name="ActionItem_ProjectTitle">#REF!</definedName>
    <definedName name="ActionItem_StartCell">#REF!</definedName>
    <definedName name="ActionItems">'Action Items-TPL'!$A$1:$N$29</definedName>
    <definedName name="AfterRecommendationComp">#REF!</definedName>
    <definedName name="Champion">metadata!$B$26</definedName>
    <definedName name="ChampionID">metadata!$B$27</definedName>
    <definedName name="Chemical">metadata!$B$16</definedName>
    <definedName name="ClosedP1">'oldP7-Action Items'!$M$10:$M$29</definedName>
    <definedName name="Composition">GWMaster!$K$2:$K$5</definedName>
    <definedName name="Corrosion">GWMaster!$M$2:$M$3</definedName>
    <definedName name="Cover_Client">#REF!</definedName>
    <definedName name="Cover_Date">#REF!</definedName>
    <definedName name="Cover_Location">#REF!</definedName>
    <definedName name="Cover_MoCNo">#REF!</definedName>
    <definedName name="Cover_PHANo">#REF!</definedName>
    <definedName name="Cover_PreparedBy">#REF!</definedName>
    <definedName name="Cover_ProjectNo">#REF!</definedName>
    <definedName name="Cover_ProjectTitle">#REF!</definedName>
    <definedName name="Cover_Revision">#REF!</definedName>
    <definedName name="DataArea" localSheetId="0">metadata!$A$3:$B$27</definedName>
    <definedName name="Date">metadata!$B$20</definedName>
    <definedName name="Deviation">RiskRank!$L$2:$L$21</definedName>
    <definedName name="Domain">metadata!$B$41</definedName>
    <definedName name="EditLink">metadata!$B$44</definedName>
    <definedName name="EditLinkWord">metadata!$B$43</definedName>
    <definedName name="Erosion">GWMaster!$L$2:$L$3</definedName>
    <definedName name="Files">metadata!$B$29</definedName>
    <definedName name="FileVersion">metadata!$B$31</definedName>
    <definedName name="Flow">GWMaster!$C$2:$C$9</definedName>
    <definedName name="GuidWord">RiskRank!$K$2:$K$7</definedName>
    <definedName name="GW">GWMaster!$B$2:$B$18</definedName>
    <definedName name="GWw">RiskRank!$O$2:$O$9</definedName>
    <definedName name="HAZOPGUID">metadata!$B$3</definedName>
    <definedName name="HAZOPID">metadata!$B$2</definedName>
    <definedName name="HAZOPIndex">metadata!$B$6</definedName>
    <definedName name="HAZOPNo">metadata!$B$4</definedName>
    <definedName name="HAZOPRun">metadata!$B$5</definedName>
    <definedName name="HAZOPTeam">#REF!</definedName>
    <definedName name="HAZOPWorksheetBody" localSheetId="7">'Worksheet NoCode'!$A$16:$AG$28</definedName>
    <definedName name="HAZOPWorksheetBody">'Worksheet HAZOP-TPL_TLM'!$A$16:$AG$40</definedName>
    <definedName name="Highw">RiskRank!$T$2:$T$5</definedName>
    <definedName name="HostName">metadata!$B$40</definedName>
    <definedName name="Human">GWMaster!$Q$2:$Q$3</definedName>
    <definedName name="Incident">GWMaster!$P$2:$P$4</definedName>
    <definedName name="Index_ProjectNo">#REF!</definedName>
    <definedName name="Index_ProjectTitle">#REF!</definedName>
    <definedName name="IndicatorP1">'oldP7-Action Items'!$G$10:$G$29</definedName>
    <definedName name="Leader">metadata!$B$22</definedName>
    <definedName name="LeaderID">metadata!$B$23</definedName>
    <definedName name="Lessw">RiskRank!$Q$2:$Q$3</definedName>
    <definedName name="Level">GWMaster!$F$2:$F$6</definedName>
    <definedName name="Location">metadata!$B$12</definedName>
    <definedName name="Loww">RiskRank!$U$2:$U$5</definedName>
    <definedName name="MasterFile">metadata!$B$33</definedName>
    <definedName name="MeetingDuration">metadata!$B$32</definedName>
    <definedName name="MemberList">#REF!</definedName>
    <definedName name="Members">metadata!$B$28</definedName>
    <definedName name="Mixing">GWMaster!$H$2:$H$7</definedName>
    <definedName name="MOCNo">metadata!$B$19</definedName>
    <definedName name="MoCPart">RiskRank!$Y$1:$Y$4</definedName>
    <definedName name="Modified">metadata!$B$36</definedName>
    <definedName name="ModifiedBy">metadata!$B$34</definedName>
    <definedName name="ModifiedByID">metadata!$B$35</definedName>
    <definedName name="Morew">RiskRank!$R$2:$R$3</definedName>
    <definedName name="NameList">#REF!</definedName>
    <definedName name="NameListP1">#REF!</definedName>
    <definedName name="NodeCount">metadata!$B$37</definedName>
    <definedName name="NodeP1">'oldP7-Action Items'!$H$10:$H$29</definedName>
    <definedName name="Now">RiskRank!$P$2:$P$3</definedName>
    <definedName name="Other">GWMaster!$R$2:$R$3</definedName>
    <definedName name="Other_Thanw">RiskRank!$V$2:$V$12</definedName>
    <definedName name="Phase">GWMaster!$I$2:$I$4</definedName>
    <definedName name="Plant">metadata!$B$11</definedName>
    <definedName name="Pressure">GWMaster!$D$2:$D$4</definedName>
    <definedName name="Process">metadata!$B$14</definedName>
    <definedName name="ProcessDescription">metadata!$B$15</definedName>
    <definedName name="Project_Assumption">#REF!</definedName>
    <definedName name="Project_GeneralNote">#REF!</definedName>
    <definedName name="Project_No">#REF!</definedName>
    <definedName name="Project_PHANo">#REF!</definedName>
    <definedName name="Project_Plant">#REF!</definedName>
    <definedName name="Project_ProcessDescription">#REF!</definedName>
    <definedName name="Project_Purpose">#REF!</definedName>
    <definedName name="Project_Scope">#REF!</definedName>
    <definedName name="Project_Title">#REF!</definedName>
    <definedName name="Project_Unit">#REF!</definedName>
    <definedName name="ProjectNo">metadata!$B$9</definedName>
    <definedName name="ProjectTitle">metadata!$B$10</definedName>
    <definedName name="Purpose">metadata!$B$17</definedName>
    <definedName name="QuaterIndex">metadata!$B$8</definedName>
    <definedName name="Reaction">GWMaster!$G$2:$G$9</definedName>
    <definedName name="RecommendationInterlock_FirstNode">#REF!</definedName>
    <definedName name="RecommendationInterlock_Template">'Worksheet HAZOP-TPL_TLM'!$AA$12</definedName>
    <definedName name="Reversew">RiskRank!$S$2:$S$3</definedName>
    <definedName name="Revision">metadata!$B$30</definedName>
    <definedName name="RiskAfterRecommendation_FirstNode">#REF!</definedName>
    <definedName name="RiskAfterRecommendation_Template">'Worksheet HAZOP-TPL_TLM'!$AB$12:$AG$12</definedName>
    <definedName name="RiskMatrix_EndImage">'Risk Ranking'!$I$34</definedName>
    <definedName name="RiskMatrix_Matrix">'Risk Ranking'!$E$12</definedName>
    <definedName name="RiskMatrix_RiskRankingColor">'Risk Ranking'!$B$8</definedName>
    <definedName name="RiskMatrix_RiskRankingName">'Risk Ranking'!$D$8</definedName>
    <definedName name="RiskMatrix_StartImage">'Risk Ranking'!$B$10</definedName>
    <definedName name="RiskRankMatrix">RiskMatrixMaster!$A$1:$E$5</definedName>
    <definedName name="RiskRankMatrixw">RiskRank!$B$2:$F$6</definedName>
    <definedName name="RiskWithoutSafeguard_FirstNode">#REF!</definedName>
    <definedName name="RiskWithoutSafeguard_Template">'Worksheet HAZOP-TPL_TLM'!$J$12:$O$12</definedName>
    <definedName name="RiskWithSafeguard_FirstNode">#REF!</definedName>
    <definedName name="RiskWithSafeguard_Template">'Worksheet HAZOP-TPL_TLM'!$S$12:$X$12</definedName>
    <definedName name="SafeguardInterlock_FirstNode">#REF!</definedName>
    <definedName name="SafeguardInterlock_Template">'Worksheet HAZOP-TPL_TLM'!$R$12</definedName>
    <definedName name="Scope">metadata!$B$18</definedName>
    <definedName name="Scriber">metadata!$B$24</definedName>
    <definedName name="ScriberID">metadata!$B$25</definedName>
    <definedName name="Sequence">GWMaster!$O$2:$O$4</definedName>
    <definedName name="Service_Failures">GWMaster!$N$2:$N$8</definedName>
    <definedName name="SiteCollection">metadata!$B$42</definedName>
    <definedName name="Status">metadata!$B$21</definedName>
    <definedName name="Temperature">GWMaster!$E$2:$E$4</definedName>
    <definedName name="Unit">metadata!$B$13</definedName>
    <definedName name="UserRoles">RiskRank!$H$1:$H$4</definedName>
    <definedName name="Viscosity">GWMaster!$J$2:$J$5</definedName>
    <definedName name="WithExistingSafeguard">#REF!</definedName>
    <definedName name="WithoutSafeguard">#REF!</definedName>
    <definedName name="YearIndex">metadata!$B$7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6" i="10" l="1"/>
  <c r="O25" i="10"/>
  <c r="O24" i="10"/>
  <c r="O23" i="10"/>
  <c r="O22" i="10"/>
  <c r="O21" i="10"/>
  <c r="O20" i="10"/>
  <c r="O19" i="10"/>
  <c r="O18" i="10"/>
  <c r="O17" i="10"/>
  <c r="O16" i="10"/>
  <c r="O15" i="10"/>
  <c r="O26" i="17"/>
  <c r="O25" i="17"/>
  <c r="O24" i="17"/>
  <c r="O23" i="17"/>
  <c r="O22" i="17"/>
  <c r="O21" i="17"/>
  <c r="O20" i="17"/>
  <c r="O19" i="17"/>
  <c r="O18" i="17"/>
  <c r="O17" i="17"/>
  <c r="O16" i="17"/>
  <c r="O15" i="17"/>
  <c r="AG40" i="25"/>
  <c r="X40" i="25"/>
  <c r="O40" i="25"/>
  <c r="AG39" i="25"/>
  <c r="X39" i="25"/>
  <c r="O39" i="25"/>
  <c r="AG38" i="25"/>
  <c r="X38" i="25"/>
  <c r="O38" i="25"/>
  <c r="AG37" i="25"/>
  <c r="X37" i="25"/>
  <c r="O37" i="25"/>
  <c r="AG36" i="25"/>
  <c r="X36" i="25"/>
  <c r="O36" i="25"/>
  <c r="AG35" i="25"/>
  <c r="X35" i="25"/>
  <c r="O35" i="25"/>
  <c r="AG34" i="25"/>
  <c r="X34" i="25"/>
  <c r="O34" i="25"/>
  <c r="AG33" i="25"/>
  <c r="X33" i="25"/>
  <c r="O33" i="25"/>
  <c r="AG32" i="25"/>
  <c r="X32" i="25"/>
  <c r="O32" i="25"/>
  <c r="AG31" i="25"/>
  <c r="X31" i="25"/>
  <c r="O31" i="25"/>
  <c r="AG30" i="25"/>
  <c r="X30" i="25"/>
  <c r="O30" i="25"/>
  <c r="AG29" i="25"/>
  <c r="X29" i="25"/>
  <c r="O29" i="25"/>
  <c r="AG28" i="25"/>
  <c r="X28" i="25"/>
  <c r="O28" i="25"/>
  <c r="AG27" i="25"/>
  <c r="X27" i="25"/>
  <c r="O27" i="25"/>
  <c r="AG26" i="25"/>
  <c r="X26" i="25"/>
  <c r="O26" i="25"/>
  <c r="AG25" i="25"/>
  <c r="X25" i="25"/>
  <c r="O25" i="25"/>
  <c r="AG24" i="25"/>
  <c r="X24" i="25"/>
  <c r="O24" i="25"/>
  <c r="AG23" i="25"/>
  <c r="X23" i="25"/>
  <c r="O23" i="25"/>
  <c r="AG22" i="25"/>
  <c r="X22" i="25"/>
  <c r="O22" i="25"/>
  <c r="AG21" i="25"/>
  <c r="X21" i="25"/>
  <c r="O21" i="25"/>
  <c r="AG20" i="25"/>
  <c r="X20" i="25"/>
  <c r="O20" i="25"/>
  <c r="AG19" i="25"/>
  <c r="X19" i="25"/>
  <c r="O19" i="25"/>
  <c r="AG18" i="25"/>
  <c r="X18" i="25"/>
  <c r="O18" i="25"/>
  <c r="AG17" i="25"/>
  <c r="X17" i="25"/>
  <c r="O17" i="25"/>
  <c r="AG16" i="25"/>
  <c r="X16" i="25"/>
  <c r="O16" i="25"/>
  <c r="B42" i="1"/>
  <c r="B4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newuser</author>
    <author>Romtham Sinthuprasithi</author>
  </authors>
  <commentList>
    <comment ref="G13" authorId="0" shapeId="0" xr:uid="{1FDB95B6-8C15-4CD5-BD07-1BB1841B0D21}">
      <text>
        <r>
          <rPr>
            <b/>
            <sz val="9"/>
            <color rgb="FF000000"/>
            <rFont val="Tahoma"/>
            <family val="2"/>
          </rPr>
          <t xml:space="preserve">1) Consequence not related to the study objective
2) Possible personnel exposure and injury in …
3) Possible pump P-XX damage due to cavitation and potential fire
4) Possible major equipment damage, including pump P-XX, 
</t>
        </r>
      </text>
    </comment>
    <comment ref="J14" authorId="1" shapeId="0" xr:uid="{41C62FEC-745D-4613-A936-2FD83E073754}">
      <text>
        <r>
          <rPr>
            <b/>
            <sz val="9"/>
            <color indexed="81"/>
            <rFont val="Tahoma"/>
            <family val="2"/>
          </rPr>
          <t>Likelihood</t>
        </r>
      </text>
    </comment>
    <comment ref="O14" authorId="1" shapeId="0" xr:uid="{C8E68CED-C106-40D5-BCD1-F3715952D7D9}">
      <text>
        <r>
          <rPr>
            <b/>
            <sz val="9"/>
            <color indexed="81"/>
            <rFont val="Tahoma"/>
            <family val="2"/>
          </rPr>
          <t>Risk Ranking</t>
        </r>
      </text>
    </comment>
    <comment ref="S14" authorId="1" shapeId="0" xr:uid="{B17F5B09-F194-4EF5-B57F-037D178631B3}">
      <text>
        <r>
          <rPr>
            <b/>
            <sz val="9"/>
            <color indexed="81"/>
            <rFont val="Tahoma"/>
            <family val="2"/>
          </rPr>
          <t>Likelihood</t>
        </r>
      </text>
    </comment>
    <comment ref="X14" authorId="1" shapeId="0" xr:uid="{D5ADA1AE-D7F5-4723-AE28-283E0E3798BC}">
      <text>
        <r>
          <rPr>
            <b/>
            <sz val="9"/>
            <color indexed="81"/>
            <rFont val="Tahoma"/>
            <family val="2"/>
          </rPr>
          <t>Risk Ranking</t>
        </r>
      </text>
    </comment>
    <comment ref="AB14" authorId="1" shapeId="0" xr:uid="{F3BE677E-F2BC-4CFA-A060-C3BABBD623EC}">
      <text>
        <r>
          <rPr>
            <b/>
            <sz val="9"/>
            <color indexed="81"/>
            <rFont val="Tahoma"/>
            <family val="2"/>
          </rPr>
          <t>Likelihood</t>
        </r>
      </text>
    </comment>
    <comment ref="AG14" authorId="1" shapeId="0" xr:uid="{E06BF4A6-EB76-4D38-9716-772490B7899F}">
      <text>
        <r>
          <rPr>
            <b/>
            <sz val="9"/>
            <color indexed="81"/>
            <rFont val="Tahoma"/>
            <family val="2"/>
          </rPr>
          <t>Risk Ranking</t>
        </r>
      </text>
    </comment>
    <comment ref="K15" authorId="1" shapeId="0" xr:uid="{93E1E893-637C-4989-9C7A-14D59A1D7E2C}">
      <text>
        <r>
          <rPr>
            <b/>
            <sz val="9"/>
            <color indexed="81"/>
            <rFont val="Tahoma"/>
            <family val="2"/>
          </rPr>
          <t>People</t>
        </r>
      </text>
    </comment>
    <comment ref="L15" authorId="1" shapeId="0" xr:uid="{3F5A349C-F37B-427C-9B03-A65D39A83AB7}">
      <text>
        <r>
          <rPr>
            <b/>
            <sz val="9"/>
            <color indexed="81"/>
            <rFont val="Tahoma"/>
            <family val="2"/>
          </rPr>
          <t>Environment</t>
        </r>
      </text>
    </comment>
    <comment ref="M15" authorId="1" shapeId="0" xr:uid="{FF2265AB-0659-4F72-94D2-968C61EC5333}">
      <text>
        <r>
          <rPr>
            <b/>
            <sz val="9"/>
            <color indexed="81"/>
            <rFont val="Tahoma"/>
            <family val="2"/>
          </rPr>
          <t>Economic</t>
        </r>
      </text>
    </comment>
    <comment ref="N15" authorId="1" shapeId="0" xr:uid="{60521E56-C1BD-4BD0-BFB2-07596CE532CE}">
      <text>
        <r>
          <rPr>
            <b/>
            <sz val="9"/>
            <color indexed="81"/>
            <rFont val="Tahoma"/>
            <family val="2"/>
          </rPr>
          <t>Social</t>
        </r>
      </text>
    </comment>
    <comment ref="T15" authorId="1" shapeId="0" xr:uid="{3A8F75EA-E2B9-459D-B770-CC42F557F92D}">
      <text>
        <r>
          <rPr>
            <b/>
            <sz val="9"/>
            <color indexed="81"/>
            <rFont val="Tahoma"/>
            <family val="2"/>
          </rPr>
          <t>People</t>
        </r>
      </text>
    </comment>
    <comment ref="U15" authorId="1" shapeId="0" xr:uid="{19088A79-658C-474F-93D7-ED7E8BFA56EE}">
      <text>
        <r>
          <rPr>
            <b/>
            <sz val="9"/>
            <color indexed="81"/>
            <rFont val="Tahoma"/>
            <family val="2"/>
          </rPr>
          <t>Environment</t>
        </r>
      </text>
    </comment>
    <comment ref="V15" authorId="1" shapeId="0" xr:uid="{98992136-3C7E-4CC8-9F2B-228FC94CAA87}">
      <text>
        <r>
          <rPr>
            <b/>
            <sz val="9"/>
            <color indexed="81"/>
            <rFont val="Tahoma"/>
            <family val="2"/>
          </rPr>
          <t>Economic</t>
        </r>
      </text>
    </comment>
    <comment ref="W15" authorId="1" shapeId="0" xr:uid="{83B9ADE1-7654-49B7-A790-B31B0EACB078}">
      <text>
        <r>
          <rPr>
            <b/>
            <sz val="9"/>
            <color indexed="81"/>
            <rFont val="Tahoma"/>
            <family val="2"/>
          </rPr>
          <t>Social</t>
        </r>
      </text>
    </comment>
    <comment ref="AC15" authorId="1" shapeId="0" xr:uid="{D24C3C8E-6764-4C4C-AD4C-99EF766945C5}">
      <text>
        <r>
          <rPr>
            <b/>
            <sz val="9"/>
            <color indexed="81"/>
            <rFont val="Tahoma"/>
            <family val="2"/>
          </rPr>
          <t>People</t>
        </r>
      </text>
    </comment>
    <comment ref="AD15" authorId="1" shapeId="0" xr:uid="{7D9E3E09-BCD5-4160-A380-6E2E74213983}">
      <text>
        <r>
          <rPr>
            <b/>
            <sz val="9"/>
            <color indexed="81"/>
            <rFont val="Tahoma"/>
            <family val="2"/>
          </rPr>
          <t>Environment</t>
        </r>
      </text>
    </comment>
    <comment ref="AE15" authorId="1" shapeId="0" xr:uid="{19F6A8EB-C045-469D-A0FD-40C4BC36B177}">
      <text>
        <r>
          <rPr>
            <b/>
            <sz val="9"/>
            <color indexed="81"/>
            <rFont val="Tahoma"/>
            <family val="2"/>
          </rPr>
          <t>Economic</t>
        </r>
      </text>
    </comment>
    <comment ref="AF15" authorId="1" shapeId="0" xr:uid="{423985FE-468D-447E-AA55-F1A0DACC24D9}">
      <text>
        <r>
          <rPr>
            <b/>
            <sz val="9"/>
            <color indexed="81"/>
            <rFont val="Tahoma"/>
            <family val="2"/>
          </rPr>
          <t>Social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newuser</author>
  </authors>
  <commentList>
    <comment ref="G13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1) Consequence not related to the study objective
2) Possible personnel exposure and injury in …
3) Possible pump P-XX damage due to cavitation and potential fire
4) Possible major equipment damage, including pump P-XX, 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newuser</author>
  </authors>
  <commentList>
    <comment ref="G13" authorId="0" shapeId="0" xr:uid="{2C612B06-3D9A-4A55-AD29-6F53EF4896A4}">
      <text>
        <r>
          <rPr>
            <b/>
            <sz val="9"/>
            <color rgb="FF000000"/>
            <rFont val="Tahoma"/>
            <family val="2"/>
          </rPr>
          <t xml:space="preserve">1) Consequence not related to the study objective
2) Possible personnel exposure and injury in …
3) Possible pump P-XX damage due to cavitation and potential fire
4) Possible major equipment damage, including pump P-XX, 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newuser</author>
  </authors>
  <commentList>
    <comment ref="G13" authorId="0" shapeId="0" xr:uid="{00000000-0006-0000-0900-000001000000}">
      <text>
        <r>
          <rPr>
            <b/>
            <sz val="9"/>
            <color rgb="FF000000"/>
            <rFont val="Tahoma"/>
            <family val="2"/>
          </rPr>
          <t xml:space="preserve">1) Consequence not related to the study objective
2) Possible personnel exposure and injury in …
3) Possible pump P-XX damage due to cavitation and potential fire
4) Possible major equipment damage, including pump P-XX, 
</t>
        </r>
      </text>
    </comment>
  </commentList>
</comments>
</file>

<file path=xl/sharedStrings.xml><?xml version="1.0" encoding="utf-8"?>
<sst xmlns="http://schemas.openxmlformats.org/spreadsheetml/2006/main" count="658" uniqueCount="344">
  <si>
    <t>Company:</t>
  </si>
  <si>
    <t xml:space="preserve">Location: </t>
  </si>
  <si>
    <t>Unit:</t>
  </si>
  <si>
    <t>Study Date:</t>
  </si>
  <si>
    <t>Node:</t>
  </si>
  <si>
    <t>Design</t>
  </si>
  <si>
    <t xml:space="preserve"> Intention:</t>
  </si>
  <si>
    <t>Control</t>
  </si>
  <si>
    <t xml:space="preserve"> Parameter:</t>
  </si>
  <si>
    <t>Drawings:</t>
  </si>
  <si>
    <t>GW</t>
  </si>
  <si>
    <t>Deviation</t>
  </si>
  <si>
    <t>Possible Causes</t>
  </si>
  <si>
    <t>Potential Consequences</t>
  </si>
  <si>
    <t>Existing Safeguards</t>
  </si>
  <si>
    <t>L</t>
  </si>
  <si>
    <t>S</t>
  </si>
  <si>
    <t>Risk</t>
  </si>
  <si>
    <t>Recommendations</t>
  </si>
  <si>
    <t>Action</t>
  </si>
  <si>
    <t>ข้อบกพร่อง</t>
  </si>
  <si>
    <t>สถานการณ์จำลอง</t>
  </si>
  <si>
    <t>เหตุการณ์ที่เกิดตามมา</t>
  </si>
  <si>
    <t>มาตราการป้องกันน/ควบคุม/แก้ไข</t>
  </si>
  <si>
    <t>โอกาส</t>
  </si>
  <si>
    <t>ความรุนแรง</t>
  </si>
  <si>
    <t>Rank</t>
  </si>
  <si>
    <t>ข้อเสนอแนะ</t>
  </si>
  <si>
    <t>by</t>
  </si>
  <si>
    <t xml:space="preserve">Project No. </t>
  </si>
  <si>
    <t xml:space="preserve">Project Title: </t>
  </si>
  <si>
    <t>Summary Actions from this HAZOP study:</t>
  </si>
  <si>
    <t>No.</t>
  </si>
  <si>
    <t>Action by</t>
  </si>
  <si>
    <t>Node</t>
  </si>
  <si>
    <t>Criteria</t>
  </si>
  <si>
    <t>Closed by</t>
  </si>
  <si>
    <t>Due Date</t>
  </si>
  <si>
    <t>Is</t>
  </si>
  <si>
    <t>Closed Date</t>
  </si>
  <si>
    <t>มาตรการลดความเสี่ยง</t>
  </si>
  <si>
    <t>ผู้รับผิดชอบ</t>
  </si>
  <si>
    <t>หัวข้อเรื่อง</t>
  </si>
  <si>
    <t>หลักเกณฑ์/</t>
  </si>
  <si>
    <t>ผู้ตรวจ</t>
  </si>
  <si>
    <t>closed</t>
  </si>
  <si>
    <t>Log-in</t>
  </si>
  <si>
    <t>Name</t>
  </si>
  <si>
    <t>Indicator</t>
  </si>
  <si>
    <t>ที่ควบคุม</t>
  </si>
  <si>
    <t>มาตราฐานที่ใช้ควบคุม</t>
  </si>
  <si>
    <t>ติดตาม</t>
  </si>
  <si>
    <t>(1 Jan 2015)</t>
  </si>
  <si>
    <t>Flow</t>
  </si>
  <si>
    <t>Pressure</t>
  </si>
  <si>
    <t>Temperature</t>
  </si>
  <si>
    <t>Level</t>
  </si>
  <si>
    <t>Reaction</t>
  </si>
  <si>
    <t>Mixing</t>
  </si>
  <si>
    <t>Phase</t>
  </si>
  <si>
    <t>Viscosity</t>
  </si>
  <si>
    <t>Composition</t>
  </si>
  <si>
    <t>Erosion</t>
  </si>
  <si>
    <t>Corrosion</t>
  </si>
  <si>
    <t>Service_Failures</t>
  </si>
  <si>
    <t>Sequence</t>
  </si>
  <si>
    <t>Incident</t>
  </si>
  <si>
    <t>Human</t>
  </si>
  <si>
    <t>Other</t>
  </si>
  <si>
    <t>More Flow</t>
  </si>
  <si>
    <t>High Pressure</t>
  </si>
  <si>
    <t>High Temperature</t>
  </si>
  <si>
    <t>High Level</t>
  </si>
  <si>
    <t>Runaway Reaction</t>
  </si>
  <si>
    <t>Excessive mixing</t>
  </si>
  <si>
    <t>Phase Change</t>
  </si>
  <si>
    <t>High Viscosity</t>
  </si>
  <si>
    <t>Composition Change</t>
  </si>
  <si>
    <t>High Erosion</t>
  </si>
  <si>
    <t>High Corrosion</t>
  </si>
  <si>
    <t>Loss of Instrument Air/Plant Air</t>
  </si>
  <si>
    <t>Wrong Step</t>
  </si>
  <si>
    <t>Previous/Related Incident</t>
  </si>
  <si>
    <t>Human Error</t>
  </si>
  <si>
    <t>Low Flow</t>
  </si>
  <si>
    <t>Low Pressure</t>
  </si>
  <si>
    <t>Low Temperature</t>
  </si>
  <si>
    <t>Low Level</t>
  </si>
  <si>
    <t>Slow Reaction</t>
  </si>
  <si>
    <t>Low Mixing</t>
  </si>
  <si>
    <t>Low Viscosity</t>
  </si>
  <si>
    <t>Contaminate</t>
  </si>
  <si>
    <t>Loss of Cooling Water</t>
  </si>
  <si>
    <t>No Flow</t>
  </si>
  <si>
    <t>No Level</t>
  </si>
  <si>
    <t>No Reaction</t>
  </si>
  <si>
    <t>No Mixing</t>
  </si>
  <si>
    <t>Loss of Electricity</t>
  </si>
  <si>
    <t>Low/No flow</t>
  </si>
  <si>
    <t>Low/No Level</t>
  </si>
  <si>
    <t>Slow/No Reaction</t>
  </si>
  <si>
    <t>Low/No Mixing</t>
  </si>
  <si>
    <t>Loss of Purging, Padding, Blanketing</t>
  </si>
  <si>
    <t>Reverse Flow</t>
  </si>
  <si>
    <t>Reverse Reaction</t>
  </si>
  <si>
    <t>Excess of service</t>
  </si>
  <si>
    <t>Misdirected Flow</t>
  </si>
  <si>
    <t>Side/Wrong Reaction</t>
  </si>
  <si>
    <t>V</t>
  </si>
  <si>
    <t>M</t>
  </si>
  <si>
    <t>H</t>
  </si>
  <si>
    <t>E</t>
  </si>
  <si>
    <t>Revision</t>
  </si>
  <si>
    <t>Date</t>
  </si>
  <si>
    <t/>
  </si>
  <si>
    <t>Node description:</t>
  </si>
  <si>
    <t>Design Intention:</t>
  </si>
  <si>
    <t>Design condition:</t>
  </si>
  <si>
    <t>Operating condition:</t>
  </si>
  <si>
    <t>Parameter</t>
  </si>
  <si>
    <t>Without Safeguard</t>
  </si>
  <si>
    <t>With Existing Safeguard</t>
  </si>
  <si>
    <t>Recommendation</t>
  </si>
  <si>
    <t>After Recommendation Comp.</t>
  </si>
  <si>
    <t>Severity</t>
  </si>
  <si>
    <t>RR</t>
  </si>
  <si>
    <t>IL/ESD</t>
  </si>
  <si>
    <t>P</t>
  </si>
  <si>
    <t>En</t>
  </si>
  <si>
    <t>Ec</t>
  </si>
  <si>
    <t>PTTGC3</t>
  </si>
  <si>
    <t>Chonlathon meeting room</t>
  </si>
  <si>
    <t>4900</t>
  </si>
  <si>
    <t>From G-1144-V1 to G-1171-M-1A,G-1171-R-1A/S and G-1171-G-1A.</t>
  </si>
  <si>
    <t>Flow rate,Temperature, Pressure  and Level</t>
  </si>
  <si>
    <t>20-A1-49-11-015,20-A1-49-11-015B and 20-A1-49-11-015C</t>
  </si>
  <si>
    <t>PR</t>
  </si>
  <si>
    <t>No</t>
  </si>
  <si>
    <t>No flow</t>
  </si>
  <si>
    <t>1. Blower Trip 
(G-1171-R-1A/S)</t>
  </si>
  <si>
    <t>1.1 High Pressure Aeration Tank
(G-1144-V-1) and Tank cover damage</t>
  </si>
  <si>
    <t>1.1.1 PSV-114411
1.1.2 PSV-114410</t>
  </si>
  <si>
    <t>2. SDT-11XXX A malfuction</t>
  </si>
  <si>
    <t xml:space="preserve">2.1 Level Flood at K.O Drum (G-1171-M-1A) carry to blower trip
</t>
  </si>
  <si>
    <t>2.1.1 LA-117104A alarm high</t>
  </si>
  <si>
    <t xml:space="preserve">2.1.1.1 Add by pass line at SDT-11XXXA
</t>
  </si>
  <si>
    <t>2.2 High Pressure Aeration Tank (G-1144-V-1) and Knok out drum effect to Tank cover damage/Blower damage (From water over flow to blower)</t>
  </si>
  <si>
    <t>2.2.1 PSV-114411
2.2.2 PSV-114410
2.2.3 LI-117104A</t>
  </si>
  <si>
    <t>2.2.1.1 Add WI (Open manual bypass)</t>
  </si>
  <si>
    <t>3. Drain line no. 20-2"-V11086-A23A-N plug</t>
  </si>
  <si>
    <t>3.1 Level Flood at K.O Drum (G-1171-M-1B)  carry to blower trip</t>
  </si>
  <si>
    <t>3.1.1 LA-117104A alarm high</t>
  </si>
  <si>
    <t>3.1.1.1 Add 3/4" drain valve at line no. 20-2"-V11087-A23A-N</t>
  </si>
  <si>
    <t>4. Blower Trip 
(G-1144-R-2B/S)</t>
  </si>
  <si>
    <t>4.1 Vacuum in Aeration Tank
(G-1134-V-1) and Tank cover damage</t>
  </si>
  <si>
    <t>4.1.1 PSV-113402</t>
  </si>
  <si>
    <t xml:space="preserve">5. Acivated canister plug
(G-1171-G-1B) </t>
  </si>
  <si>
    <t>5.1 Blower(G-1171-R-1B/S) over load and Blower (G-1171-R-1B/S)damage</t>
  </si>
  <si>
    <t>5.1.1 Over load protection</t>
  </si>
  <si>
    <t xml:space="preserve">5.1.1.1 Re-check PSV at discharge blower with Blower vendor
5.1.1.2 Consider PDI installation at . Acivated canister 
(G-1171-G-1B) </t>
  </si>
  <si>
    <t>6. Mist eliminator plug at G-1171-M-1B</t>
  </si>
  <si>
    <t>6.1 High Pressure Aeration Tank
(G-1134-V-1) and Tank cover damage</t>
  </si>
  <si>
    <t>6.1.1 PSV-113402
6.1.2 PSV-113401</t>
  </si>
  <si>
    <t>6.1.1.1 Consider Manhole at KO Drum (G-1171-M-1B)  for cleaning propose.</t>
  </si>
  <si>
    <t>Less</t>
  </si>
  <si>
    <t>Less flow</t>
  </si>
  <si>
    <t>7. No possible cause</t>
  </si>
  <si>
    <t>More</t>
  </si>
  <si>
    <t>More flow</t>
  </si>
  <si>
    <t>8. Blower G-1144-R-2B and G-1144-R-2S during switch mode</t>
  </si>
  <si>
    <t>8.1 Tank cover damage</t>
  </si>
  <si>
    <t>8.1.2 PSV-113402
8.1.3 PSV-113401</t>
  </si>
  <si>
    <t>8.1.1.1 Add WI for Blower switching (Start/Stop)
8.1.1.2 Add interlock for operate blower</t>
  </si>
  <si>
    <t>Reverse</t>
  </si>
  <si>
    <t>Reverse flow</t>
  </si>
  <si>
    <t>9. No possible cause</t>
  </si>
  <si>
    <t>High</t>
  </si>
  <si>
    <t>High temperature</t>
  </si>
  <si>
    <t>10. Blower Trip
 (G-1171-R-1B/S)</t>
  </si>
  <si>
    <t>10.1 Activated sludge  upset and dicharge water off spec</t>
  </si>
  <si>
    <t>10.1.1 TI-113401
10.1.2 Blower status 
(YI-117101B/S)</t>
  </si>
  <si>
    <t>10.1.1.1 Add alarm high at TI-113401
10.1.1.2 Add WI for odor control unit</t>
  </si>
  <si>
    <t>Low</t>
  </si>
  <si>
    <t>Low temperature</t>
  </si>
  <si>
    <t>11. No possible cause</t>
  </si>
  <si>
    <t>Page_1</t>
  </si>
  <si>
    <t>Ex.</t>
  </si>
  <si>
    <t>Risk Assesment Matrix</t>
  </si>
  <si>
    <t>Risk Ranking</t>
  </si>
  <si>
    <t>Level 5:</t>
  </si>
  <si>
    <t>Extreme</t>
  </si>
  <si>
    <t>Serious risk and need action &amp; risk rediuction plan immediately</t>
  </si>
  <si>
    <t>Level 4:</t>
  </si>
  <si>
    <t>Unacceptable risk and need action &amp; risk reduction plan immediately</t>
  </si>
  <si>
    <t>Level 3:</t>
  </si>
  <si>
    <t>Medium</t>
  </si>
  <si>
    <t>Medium risk and require reduction plan</t>
  </si>
  <si>
    <t>Level 2:</t>
  </si>
  <si>
    <t>Acceptable risk and require review of control plan</t>
  </si>
  <si>
    <t>Level 1:</t>
  </si>
  <si>
    <t>Very Low</t>
  </si>
  <si>
    <t>Very low risk</t>
  </si>
  <si>
    <t>Likelihood</t>
  </si>
  <si>
    <t>General Term (No.)</t>
  </si>
  <si>
    <t>How often?</t>
  </si>
  <si>
    <t>Hazard Severity Rating</t>
  </si>
  <si>
    <t>Frequent</t>
  </si>
  <si>
    <t>Has happened more than once per year in the Location</t>
  </si>
  <si>
    <t>Likely</t>
  </si>
  <si>
    <r>
      <rPr>
        <sz val="9"/>
        <color rgb="FF000000"/>
        <rFont val="Arial"/>
        <family val="2"/>
      </rPr>
      <t xml:space="preserve">Has happened at the Location </t>
    </r>
    <r>
      <rPr>
        <b/>
        <i/>
        <sz val="9"/>
        <color rgb="FF000000"/>
        <rFont val="Arial"/>
        <family val="2"/>
      </rPr>
      <t>or</t>
    </r>
    <r>
      <rPr>
        <sz val="9"/>
        <color rgb="FF000000"/>
        <rFont val="Arial"/>
        <family val="2"/>
      </rPr>
      <t xml:space="preserve"> more than once per year in the PTTGC group</t>
    </r>
  </si>
  <si>
    <t>Possible</t>
  </si>
  <si>
    <r>
      <rPr>
        <i/>
        <sz val="9"/>
        <color rgb="FF000000"/>
        <rFont val="Arial"/>
        <family val="2"/>
      </rPr>
      <t xml:space="preserve">Possible to happen in the </t>
    </r>
    <r>
      <rPr>
        <b/>
        <i/>
        <sz val="9"/>
        <color rgb="FF000000"/>
        <rFont val="Arial"/>
        <family val="2"/>
      </rPr>
      <t>PTTGC</t>
    </r>
    <r>
      <rPr>
        <i/>
        <sz val="9"/>
        <color rgb="FF000000"/>
        <rFont val="Arial"/>
        <family val="2"/>
      </rPr>
      <t xml:space="preserve"> group or more than once / year in the Industry</t>
    </r>
  </si>
  <si>
    <t>Unlikely</t>
  </si>
  <si>
    <t>Possible to occur in the Industry (or has occurred)</t>
  </si>
  <si>
    <t>Improbable</t>
  </si>
  <si>
    <t>Unlikely to occur in the Industry (or has not occurred)</t>
  </si>
  <si>
    <t>Consequence</t>
  </si>
  <si>
    <t>Severity Number</t>
  </si>
  <si>
    <t>People</t>
  </si>
  <si>
    <t>- No injury or First Aid case</t>
  </si>
  <si>
    <t>- Medical treatment or Restrict to work</t>
  </si>
  <si>
    <t>- Loss time injury</t>
  </si>
  <si>
    <t>- Single fatality or Permanent total disabilities</t>
  </si>
  <si>
    <t>- More than one fatality</t>
  </si>
  <si>
    <t>(Safety, Health, Morale)</t>
  </si>
  <si>
    <t>- No or very low health effect</t>
  </si>
  <si>
    <t>- Low health effect</t>
  </si>
  <si>
    <t>- Medium health effect</t>
  </si>
  <si>
    <t>- High health effect</t>
  </si>
  <si>
    <t>- No or Minimal morale impact</t>
  </si>
  <si>
    <t>- Short-term morale impact</t>
  </si>
  <si>
    <t>- Long-term morale impact</t>
  </si>
  <si>
    <t>- Protesters rally or official complaint</t>
  </si>
  <si>
    <t>- Employees or Contractors strike</t>
  </si>
  <si>
    <t>Environment</t>
  </si>
  <si>
    <t>No/Slight Effect</t>
  </si>
  <si>
    <t>Minor Effect</t>
  </si>
  <si>
    <t>Moderate Effect</t>
  </si>
  <si>
    <t>Major Effect</t>
  </si>
  <si>
    <t>Massive Effect</t>
  </si>
  <si>
    <t>Economic</t>
  </si>
  <si>
    <t>GPC (THB)</t>
  </si>
  <si>
    <t>&lt; 0.3 M</t>
  </si>
  <si>
    <t>0.3 - &lt; 3 M</t>
  </si>
  <si>
    <t>3 - &lt; 30 M</t>
  </si>
  <si>
    <t>30 - &lt; 300 M</t>
  </si>
  <si>
    <t>≥ 300 M</t>
  </si>
  <si>
    <t>(Total Loss)</t>
  </si>
  <si>
    <t>BU (THB)</t>
  </si>
  <si>
    <t>&lt; 0.1 M</t>
  </si>
  <si>
    <t>0.1 - &lt; 1 M</t>
  </si>
  <si>
    <t>1 - &lt; 10 M</t>
  </si>
  <si>
    <t>10 - &lt; 100 M</t>
  </si>
  <si>
    <t>≥ 100 M</t>
  </si>
  <si>
    <t>Small BU (THB)</t>
  </si>
  <si>
    <t>&lt; 0.01 M</t>
  </si>
  <si>
    <t>0.01 - &lt; 0.1 M</t>
  </si>
  <si>
    <t>0.1 - &lt;1 M</t>
  </si>
  <si>
    <t>≥ 10 M</t>
  </si>
  <si>
    <t>Social</t>
  </si>
  <si>
    <t>- No or Slight impact to Community, Reputation and Customer</t>
  </si>
  <si>
    <t>- Minor impact with short term recovery</t>
  </si>
  <si>
    <t>- Moderate impact with long term recovery</t>
  </si>
  <si>
    <t>- Major impact with national concern</t>
  </si>
  <si>
    <t>- Massive impact with international concern</t>
  </si>
  <si>
    <t>(Community, Reputation, Customer, Law/Regulation)</t>
  </si>
  <si>
    <t>- No fault or insignificant fault of complying with laws/articles of association.</t>
  </si>
  <si>
    <t>- Local media</t>
  </si>
  <si>
    <t>- Regional media</t>
  </si>
  <si>
    <t>- National media</t>
  </si>
  <si>
    <t>- International media</t>
  </si>
  <si>
    <t>- Verbal complaints</t>
  </si>
  <si>
    <t>- Official letter complaint</t>
  </si>
  <si>
    <t>- Customer less purchase</t>
  </si>
  <si>
    <t>- Customer stop purchase</t>
  </si>
  <si>
    <t>- Partly comply with laws/articles of association.</t>
  </si>
  <si>
    <t>- Non-compliance with laws/articles of association</t>
  </si>
  <si>
    <t>- Violate the laws/ articles of association.</t>
  </si>
  <si>
    <t>- Violate the laws/ articles of association, and/or subject to order to dissolve the company</t>
  </si>
  <si>
    <t>Note:</t>
  </si>
  <si>
    <t xml:space="preserve">For the risk assessment which is required to comply with Thai regulation, the 4x4 RAM shall be applied </t>
  </si>
  <si>
    <t xml:space="preserve">For each of the potential Consequences shall be assessed from “(1)” to “(4)” and its Likelihood shall be leveled from “Improbable (1)” to “Likely (4)”. </t>
  </si>
  <si>
    <t>Accordingly, the risk or hazard severity shall be ranked from “Very Low” to “High”.</t>
  </si>
  <si>
    <t>Contamination</t>
  </si>
  <si>
    <t>HAZOPID</t>
  </si>
  <si>
    <t>HAZOPGUID</t>
  </si>
  <si>
    <t>HAZOPNo</t>
  </si>
  <si>
    <t>HAZOPRun</t>
  </si>
  <si>
    <t>HAZOPIndex</t>
  </si>
  <si>
    <t>YearIndex</t>
  </si>
  <si>
    <t>QuaterIndex</t>
  </si>
  <si>
    <t>ProjectNo</t>
  </si>
  <si>
    <t>ProjectTitle</t>
  </si>
  <si>
    <t>Plant</t>
  </si>
  <si>
    <t>Location</t>
  </si>
  <si>
    <t>Unit</t>
  </si>
  <si>
    <t>Process</t>
  </si>
  <si>
    <t>ProcessDescription</t>
  </si>
  <si>
    <t>Chemical</t>
  </si>
  <si>
    <t>Purpose</t>
  </si>
  <si>
    <t>Scope</t>
  </si>
  <si>
    <t>MOCNo</t>
  </si>
  <si>
    <t>Status</t>
  </si>
  <si>
    <t>Draft</t>
  </si>
  <si>
    <t>Leader</t>
  </si>
  <si>
    <t>LeaderID</t>
  </si>
  <si>
    <t>Scriber</t>
  </si>
  <si>
    <t>ScriberID</t>
  </si>
  <si>
    <t>Champion</t>
  </si>
  <si>
    <t>ChampionID</t>
  </si>
  <si>
    <t>Members</t>
  </si>
  <si>
    <t>Files</t>
  </si>
  <si>
    <t>FileVersion</t>
  </si>
  <si>
    <t>MeetingDuration</t>
  </si>
  <si>
    <t>MasterFile</t>
  </si>
  <si>
    <t>ModifiedBy</t>
  </si>
  <si>
    <t>ModifiedByID</t>
  </si>
  <si>
    <t>Modified</t>
  </si>
  <si>
    <t>NodeCount</t>
  </si>
  <si>
    <t>HostName</t>
  </si>
  <si>
    <t>spapps</t>
  </si>
  <si>
    <t>Domain</t>
  </si>
  <si>
    <t>PTTGC</t>
  </si>
  <si>
    <t>Site Collection</t>
  </si>
  <si>
    <t>Link Word</t>
  </si>
  <si>
    <t>Open web-browser</t>
  </si>
  <si>
    <t>Edit Link</t>
  </si>
  <si>
    <t>TemplateVersion</t>
  </si>
  <si>
    <t>Member</t>
  </si>
  <si>
    <t>Other_Than</t>
  </si>
  <si>
    <t>N/A</t>
  </si>
  <si>
    <t>VL</t>
  </si>
  <si>
    <t>Scribe</t>
  </si>
  <si>
    <t>High pressure</t>
  </si>
  <si>
    <t>Low pressure</t>
  </si>
  <si>
    <t>High level</t>
  </si>
  <si>
    <t>Low level</t>
  </si>
  <si>
    <t>Wrong Material</t>
  </si>
  <si>
    <t>EX</t>
  </si>
  <si>
    <t>Leak / Rupture</t>
  </si>
  <si>
    <t>Equipment</t>
  </si>
  <si>
    <t>Wrong Step(Time)</t>
  </si>
  <si>
    <t>Wrong Place</t>
  </si>
  <si>
    <t>Others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</si>
</sst>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1010000]d/m/yyyy;@"/>
  </numFmts>
  <fonts count="4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돋움"/>
    </font>
    <font>
      <sz val="10"/>
      <name val="Arial"/>
      <family val="2"/>
    </font>
    <font>
      <b/>
      <sz val="12"/>
      <name val="Arial"/>
      <family val="2"/>
    </font>
    <font>
      <b/>
      <i/>
      <sz val="11"/>
      <color theme="1"/>
      <name val="Calibri"/>
      <family val="2"/>
      <scheme val="minor"/>
    </font>
    <font>
      <sz val="11"/>
      <name val="Arial"/>
      <family val="2"/>
    </font>
    <font>
      <b/>
      <sz val="14"/>
      <color rgb="FF0000FF"/>
      <name val="Arial"/>
      <family val="2"/>
    </font>
    <font>
      <b/>
      <i/>
      <sz val="9"/>
      <color rgb="FF0000FF"/>
      <name val="Arial"/>
      <family val="2"/>
    </font>
    <font>
      <b/>
      <sz val="9"/>
      <color rgb="FF0000FF"/>
      <name val="Arial"/>
      <family val="2"/>
    </font>
    <font>
      <sz val="14"/>
      <name val="Arial"/>
      <family val="2"/>
    </font>
    <font>
      <sz val="12"/>
      <color rgb="FF000000"/>
      <name val="Arial"/>
      <family val="2"/>
    </font>
    <font>
      <b/>
      <sz val="14"/>
      <name val="Times New Roman"/>
      <family val="1"/>
    </font>
    <font>
      <sz val="16"/>
      <name val="Arial"/>
      <family val="2"/>
    </font>
    <font>
      <sz val="11"/>
      <color theme="0" tint="-0.149998474074526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Tahoma"/>
      <family val="2"/>
    </font>
    <font>
      <sz val="10"/>
      <color theme="1"/>
      <name val="Tahoma"/>
      <family val="2"/>
    </font>
    <font>
      <b/>
      <sz val="11"/>
      <color theme="1"/>
      <name val="Tahoma"/>
      <family val="2"/>
    </font>
    <font>
      <b/>
      <sz val="10"/>
      <color theme="1"/>
      <name val="Tahoma"/>
      <family val="2"/>
    </font>
    <font>
      <b/>
      <sz val="9"/>
      <color theme="0"/>
      <name val="Tahoma"/>
      <family val="2"/>
    </font>
    <font>
      <b/>
      <sz val="8"/>
      <color theme="0"/>
      <name val="Tahoma"/>
      <family val="2"/>
    </font>
    <font>
      <b/>
      <sz val="10"/>
      <color rgb="FF000000"/>
      <name val="Tahoma"/>
      <family val="2"/>
    </font>
    <font>
      <sz val="10"/>
      <color theme="0"/>
      <name val="Tahoma"/>
      <family val="2"/>
    </font>
    <font>
      <b/>
      <i/>
      <sz val="10"/>
      <color theme="1"/>
      <name val="Tahoma"/>
      <family val="2"/>
    </font>
    <font>
      <sz val="10"/>
      <color rgb="FF0000FF"/>
      <name val="Tahoma"/>
      <family val="2"/>
    </font>
    <font>
      <sz val="8"/>
      <color theme="0"/>
      <name val="Tahoma"/>
      <family val="2"/>
    </font>
    <font>
      <sz val="10"/>
      <color rgb="FF222222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Webdings"/>
      <family val="1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i/>
      <sz val="9"/>
      <color theme="1"/>
      <name val="Arial"/>
      <family val="2"/>
    </font>
    <font>
      <b/>
      <sz val="24"/>
      <color theme="1"/>
      <name val="Arial"/>
      <family val="2"/>
    </font>
    <font>
      <b/>
      <sz val="12"/>
      <color theme="1"/>
      <name val="Arial"/>
      <family val="2"/>
    </font>
    <font>
      <i/>
      <sz val="9"/>
      <color theme="1"/>
      <name val="Arial"/>
      <family val="2"/>
    </font>
    <font>
      <b/>
      <sz val="9"/>
      <color rgb="FF000000"/>
      <name val="Tahoma"/>
      <family val="2"/>
    </font>
    <font>
      <sz val="10"/>
      <color indexed="43"/>
      <name val="Tahoma"/>
      <family val="2"/>
    </font>
    <font>
      <sz val="10"/>
      <color indexed="8"/>
      <name val="Tahoma"/>
      <family val="2"/>
    </font>
    <font>
      <sz val="12"/>
      <color theme="1"/>
      <name val="Arial"/>
      <family val="2"/>
    </font>
    <font>
      <b/>
      <sz val="8"/>
      <name val="Tahoma"/>
      <family val="2"/>
    </font>
    <font>
      <sz val="11"/>
      <color rgb="FF000000"/>
      <name val="Calibri"/>
      <family val="2"/>
      <scheme val="minor"/>
    </font>
    <font>
      <b/>
      <i/>
      <sz val="9"/>
      <color rgb="FF000000"/>
      <name val="Arial"/>
      <family val="2"/>
    </font>
    <font>
      <sz val="9"/>
      <color rgb="FF000000"/>
      <name val="Arial"/>
      <family val="2"/>
    </font>
    <font>
      <i/>
      <sz val="9"/>
      <color rgb="FF000000"/>
      <name val="Arial"/>
      <family val="2"/>
    </font>
    <font>
      <b/>
      <sz val="9"/>
      <color indexed="81"/>
      <name val="Tahoma"/>
      <family val="2"/>
    </font>
  </fonts>
  <fills count="2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none"/>
    </fill>
    <fill>
      <patternFill patternType="solid">
        <fgColor theme="8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FF00"/>
      </patternFill>
    </fill>
    <fill>
      <patternFill patternType="solid">
        <fgColor rgb="FFFFFF00"/>
      </patternFill>
    </fill>
    <fill>
      <patternFill patternType="solid">
        <fgColor rgb="FFFFC000"/>
      </patternFill>
    </fill>
    <fill>
      <patternFill patternType="solid">
        <fgColor rgb="FFFF0000"/>
      </patternFill>
    </fill>
    <fill>
      <patternFill patternType="solid">
        <fgColor rgb="FFC00000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auto="1"/>
      </bottom>
      <diagonal/>
    </border>
    <border>
      <left/>
      <right style="thin">
        <color theme="0" tint="-0.14996795556505021"/>
      </right>
      <top/>
      <bottom style="thin">
        <color auto="1"/>
      </bottom>
      <diagonal/>
    </border>
    <border>
      <left style="thin">
        <color theme="0" tint="-0.14996795556505021"/>
      </left>
      <right/>
      <top/>
      <bottom style="thin">
        <color auto="1"/>
      </bottom>
      <diagonal/>
    </border>
    <border>
      <left style="thin">
        <color auto="1"/>
      </left>
      <right style="thin">
        <color theme="0" tint="-0.14996795556505021"/>
      </right>
      <top/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auto="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auto="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/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/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 style="medium">
        <color indexed="64"/>
      </left>
      <right/>
      <top/>
      <bottom style="thick">
        <color rgb="FF000000"/>
      </bottom>
      <diagonal/>
    </border>
    <border>
      <left style="thick">
        <color rgb="FF000000"/>
      </left>
      <right style="medium">
        <color indexed="64"/>
      </right>
      <top/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rgb="FF000000"/>
      </left>
      <right style="medium">
        <color indexed="64"/>
      </right>
      <top/>
      <bottom/>
      <diagonal/>
    </border>
    <border>
      <left/>
      <right style="thick">
        <color rgb="FF000000"/>
      </right>
      <top style="medium">
        <color rgb="FF000000"/>
      </top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indexed="64"/>
      </left>
      <right/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indexed="64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/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3" fillId="0" borderId="0"/>
    <xf numFmtId="0" fontId="3" fillId="0" borderId="0"/>
    <xf numFmtId="0" fontId="2" fillId="0" borderId="0">
      <alignment vertical="center"/>
    </xf>
  </cellStyleXfs>
  <cellXfs count="342">
    <xf numFmtId="0" fontId="0" fillId="0" borderId="0" xfId="0"/>
    <xf numFmtId="49" fontId="0" fillId="0" borderId="0" xfId="0" applyNumberFormat="1"/>
    <xf numFmtId="0" fontId="15" fillId="0" borderId="0" xfId="0" applyFont="1"/>
    <xf numFmtId="0" fontId="0" fillId="0" borderId="0" xfId="0" applyAlignment="1">
      <alignment horizontal="center"/>
    </xf>
    <xf numFmtId="0" fontId="1" fillId="0" borderId="7" xfId="0" applyFont="1" applyBorder="1"/>
    <xf numFmtId="0" fontId="19" fillId="0" borderId="0" xfId="0" applyFont="1" applyAlignment="1">
      <alignment horizontal="center"/>
    </xf>
    <xf numFmtId="0" fontId="17" fillId="0" borderId="0" xfId="0" applyFont="1"/>
    <xf numFmtId="0" fontId="27" fillId="0" borderId="0" xfId="0" applyFont="1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right"/>
    </xf>
    <xf numFmtId="0" fontId="30" fillId="0" borderId="0" xfId="0" applyFont="1" applyAlignment="1">
      <alignment horizontal="center" vertical="top" wrapText="1"/>
    </xf>
    <xf numFmtId="0" fontId="17" fillId="0" borderId="8" xfId="0" applyFont="1" applyBorder="1" applyAlignment="1" applyProtection="1">
      <alignment horizontal="left"/>
      <protection locked="0"/>
    </xf>
    <xf numFmtId="0" fontId="19" fillId="0" borderId="8" xfId="0" applyFont="1" applyBorder="1" applyAlignment="1">
      <alignment horizontal="right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left"/>
    </xf>
    <xf numFmtId="0" fontId="19" fillId="0" borderId="0" xfId="0" applyFont="1" applyAlignment="1">
      <alignment horizontal="right" vertical="top"/>
    </xf>
    <xf numFmtId="3" fontId="19" fillId="0" borderId="0" xfId="0" applyNumberFormat="1" applyFont="1" applyAlignment="1">
      <alignment horizontal="right"/>
    </xf>
    <xf numFmtId="3" fontId="17" fillId="0" borderId="0" xfId="0" applyNumberFormat="1" applyFont="1" applyAlignment="1">
      <alignment horizontal="left"/>
    </xf>
    <xf numFmtId="0" fontId="21" fillId="2" borderId="5" xfId="0" applyFont="1" applyFill="1" applyBorder="1" applyAlignment="1">
      <alignment horizontal="center" vertical="center"/>
    </xf>
    <xf numFmtId="0" fontId="21" fillId="2" borderId="6" xfId="0" applyFont="1" applyFill="1" applyBorder="1" applyAlignment="1">
      <alignment horizontal="center" vertical="center"/>
    </xf>
    <xf numFmtId="0" fontId="26" fillId="2" borderId="5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17" fillId="0" borderId="21" xfId="0" applyFont="1" applyBorder="1" applyAlignment="1" applyProtection="1">
      <alignment horizontal="left" vertical="top" wrapText="1"/>
      <protection locked="0"/>
    </xf>
    <xf numFmtId="0" fontId="17" fillId="0" borderId="21" xfId="0" applyFont="1" applyBorder="1" applyAlignment="1" applyProtection="1">
      <alignment horizontal="center" vertical="top"/>
      <protection locked="0"/>
    </xf>
    <xf numFmtId="0" fontId="25" fillId="0" borderId="21" xfId="0" applyFont="1" applyBorder="1" applyAlignment="1">
      <alignment horizontal="center" vertical="top"/>
    </xf>
    <xf numFmtId="0" fontId="17" fillId="0" borderId="19" xfId="0" applyFont="1" applyBorder="1" applyAlignment="1" applyProtection="1">
      <alignment horizontal="left" vertical="top" wrapText="1"/>
      <protection locked="0"/>
    </xf>
    <xf numFmtId="0" fontId="17" fillId="0" borderId="18" xfId="0" applyFont="1" applyBorder="1" applyAlignment="1" applyProtection="1">
      <alignment horizontal="left" vertical="top" wrapText="1"/>
      <protection locked="0"/>
    </xf>
    <xf numFmtId="0" fontId="17" fillId="0" borderId="18" xfId="0" applyFont="1" applyBorder="1" applyAlignment="1" applyProtection="1">
      <alignment horizontal="center" vertical="top"/>
      <protection locked="0"/>
    </xf>
    <xf numFmtId="0" fontId="25" fillId="0" borderId="18" xfId="0" applyFont="1" applyBorder="1" applyAlignment="1">
      <alignment horizontal="center" vertical="top"/>
    </xf>
    <xf numFmtId="0" fontId="17" fillId="0" borderId="12" xfId="0" applyFont="1" applyBorder="1" applyAlignment="1" applyProtection="1">
      <alignment horizontal="left" vertical="top" wrapText="1"/>
      <protection locked="0"/>
    </xf>
    <xf numFmtId="0" fontId="17" fillId="0" borderId="2" xfId="0" applyFont="1" applyBorder="1" applyAlignment="1" applyProtection="1">
      <alignment horizontal="center" vertical="top"/>
      <protection locked="0"/>
    </xf>
    <xf numFmtId="0" fontId="25" fillId="0" borderId="14" xfId="0" applyFont="1" applyBorder="1" applyAlignment="1">
      <alignment horizontal="center" vertical="top"/>
    </xf>
    <xf numFmtId="0" fontId="22" fillId="0" borderId="0" xfId="0" applyFont="1" applyAlignment="1">
      <alignment horizontal="right"/>
    </xf>
    <xf numFmtId="0" fontId="17" fillId="0" borderId="0" xfId="0" applyFont="1" applyProtection="1">
      <protection locked="0"/>
    </xf>
    <xf numFmtId="0" fontId="14" fillId="0" borderId="0" xfId="0" applyFont="1"/>
    <xf numFmtId="0" fontId="24" fillId="0" borderId="0" xfId="0" applyFont="1"/>
    <xf numFmtId="0" fontId="20" fillId="2" borderId="41" xfId="0" applyFont="1" applyFill="1" applyBorder="1" applyAlignment="1">
      <alignment horizontal="center"/>
    </xf>
    <xf numFmtId="0" fontId="20" fillId="2" borderId="40" xfId="0" applyFont="1" applyFill="1" applyBorder="1" applyAlignment="1">
      <alignment horizontal="center"/>
    </xf>
    <xf numFmtId="0" fontId="20" fillId="3" borderId="40" xfId="0" applyFont="1" applyFill="1" applyBorder="1" applyAlignment="1">
      <alignment horizontal="center"/>
    </xf>
    <xf numFmtId="0" fontId="21" fillId="2" borderId="39" xfId="0" applyFont="1" applyFill="1" applyBorder="1" applyAlignment="1">
      <alignment horizontal="center"/>
    </xf>
    <xf numFmtId="0" fontId="23" fillId="2" borderId="32" xfId="0" applyFont="1" applyFill="1" applyBorder="1"/>
    <xf numFmtId="0" fontId="23" fillId="2" borderId="31" xfId="0" applyFont="1" applyFill="1" applyBorder="1" applyAlignment="1">
      <alignment horizontal="center"/>
    </xf>
    <xf numFmtId="0" fontId="23" fillId="3" borderId="31" xfId="0" applyFont="1" applyFill="1" applyBorder="1"/>
    <xf numFmtId="0" fontId="21" fillId="2" borderId="31" xfId="0" applyFont="1" applyFill="1" applyBorder="1"/>
    <xf numFmtId="0" fontId="23" fillId="2" borderId="30" xfId="0" applyFont="1" applyFill="1" applyBorder="1"/>
    <xf numFmtId="0" fontId="23" fillId="2" borderId="37" xfId="0" applyFont="1" applyFill="1" applyBorder="1"/>
    <xf numFmtId="0" fontId="23" fillId="2" borderId="36" xfId="0" applyFont="1" applyFill="1" applyBorder="1"/>
    <xf numFmtId="0" fontId="23" fillId="2" borderId="10" xfId="0" applyFont="1" applyFill="1" applyBorder="1"/>
    <xf numFmtId="0" fontId="23" fillId="2" borderId="35" xfId="0" applyFont="1" applyFill="1" applyBorder="1"/>
    <xf numFmtId="0" fontId="23" fillId="2" borderId="34" xfId="0" applyFont="1" applyFill="1" applyBorder="1" applyAlignment="1">
      <alignment horizontal="center"/>
    </xf>
    <xf numFmtId="0" fontId="26" fillId="3" borderId="34" xfId="0" applyFont="1" applyFill="1" applyBorder="1" applyAlignment="1">
      <alignment horizontal="center"/>
    </xf>
    <xf numFmtId="0" fontId="23" fillId="2" borderId="34" xfId="0" applyFont="1" applyFill="1" applyBorder="1"/>
    <xf numFmtId="0" fontId="23" fillId="2" borderId="33" xfId="0" applyFont="1" applyFill="1" applyBorder="1" applyAlignment="1">
      <alignment horizontal="center"/>
    </xf>
    <xf numFmtId="0" fontId="17" fillId="0" borderId="68" xfId="0" applyFont="1" applyBorder="1" applyAlignment="1" applyProtection="1">
      <alignment vertical="top"/>
      <protection locked="0"/>
    </xf>
    <xf numFmtId="49" fontId="17" fillId="0" borderId="71" xfId="0" applyNumberFormat="1" applyFont="1" applyBorder="1" applyAlignment="1" applyProtection="1">
      <alignment vertical="top"/>
      <protection locked="0"/>
    </xf>
    <xf numFmtId="49" fontId="17" fillId="0" borderId="71" xfId="0" applyNumberFormat="1" applyFont="1" applyBorder="1" applyAlignment="1" applyProtection="1">
      <alignment horizontal="center" vertical="top"/>
      <protection locked="0"/>
    </xf>
    <xf numFmtId="49" fontId="17" fillId="0" borderId="71" xfId="0" applyNumberFormat="1" applyFont="1" applyBorder="1" applyAlignment="1" applyProtection="1">
      <alignment horizontal="center" vertical="top" wrapText="1"/>
      <protection locked="0"/>
    </xf>
    <xf numFmtId="165" fontId="17" fillId="0" borderId="71" xfId="0" applyNumberFormat="1" applyFont="1" applyBorder="1" applyAlignment="1" applyProtection="1">
      <alignment vertical="top"/>
      <protection locked="0"/>
    </xf>
    <xf numFmtId="49" fontId="29" fillId="0" borderId="71" xfId="0" applyNumberFormat="1" applyFont="1" applyBorder="1" applyAlignment="1">
      <alignment horizontal="center" vertical="top"/>
    </xf>
    <xf numFmtId="165" fontId="17" fillId="0" borderId="72" xfId="0" applyNumberFormat="1" applyFont="1" applyBorder="1" applyAlignment="1" applyProtection="1">
      <alignment vertical="top"/>
      <protection locked="0"/>
    </xf>
    <xf numFmtId="0" fontId="17" fillId="0" borderId="29" xfId="0" applyFont="1" applyBorder="1" applyAlignment="1" applyProtection="1">
      <alignment vertical="top"/>
      <protection locked="0"/>
    </xf>
    <xf numFmtId="49" fontId="17" fillId="0" borderId="26" xfId="0" applyNumberFormat="1" applyFont="1" applyBorder="1" applyAlignment="1" applyProtection="1">
      <alignment vertical="top"/>
      <protection locked="0"/>
    </xf>
    <xf numFmtId="49" fontId="17" fillId="0" borderId="26" xfId="0" applyNumberFormat="1" applyFont="1" applyBorder="1" applyAlignment="1" applyProtection="1">
      <alignment horizontal="center" vertical="top"/>
      <protection locked="0"/>
    </xf>
    <xf numFmtId="49" fontId="17" fillId="0" borderId="26" xfId="0" applyNumberFormat="1" applyFont="1" applyBorder="1" applyAlignment="1" applyProtection="1">
      <alignment horizontal="center" vertical="top" wrapText="1"/>
      <protection locked="0"/>
    </xf>
    <xf numFmtId="165" fontId="17" fillId="0" borderId="26" xfId="0" applyNumberFormat="1" applyFont="1" applyBorder="1" applyAlignment="1" applyProtection="1">
      <alignment vertical="top"/>
      <protection locked="0"/>
    </xf>
    <xf numFmtId="49" fontId="29" fillId="0" borderId="26" xfId="0" applyNumberFormat="1" applyFont="1" applyBorder="1" applyAlignment="1">
      <alignment horizontal="center" vertical="top"/>
    </xf>
    <xf numFmtId="165" fontId="17" fillId="0" borderId="25" xfId="0" applyNumberFormat="1" applyFont="1" applyBorder="1" applyAlignment="1" applyProtection="1">
      <alignment vertical="top"/>
      <protection locked="0"/>
    </xf>
    <xf numFmtId="49" fontId="17" fillId="0" borderId="0" xfId="0" applyNumberFormat="1" applyFont="1" applyProtection="1">
      <protection locked="0"/>
    </xf>
    <xf numFmtId="49" fontId="17" fillId="0" borderId="10" xfId="0" applyNumberFormat="1" applyFont="1" applyBorder="1" applyProtection="1">
      <protection locked="0"/>
    </xf>
    <xf numFmtId="0" fontId="20" fillId="2" borderId="5" xfId="0" applyFont="1" applyFill="1" applyBorder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/>
    </xf>
    <xf numFmtId="49" fontId="17" fillId="0" borderId="21" xfId="0" applyNumberFormat="1" applyFont="1" applyBorder="1" applyAlignment="1" applyProtection="1">
      <alignment horizontal="left" vertical="top" wrapText="1"/>
      <protection locked="0"/>
    </xf>
    <xf numFmtId="49" fontId="17" fillId="0" borderId="19" xfId="0" applyNumberFormat="1" applyFont="1" applyBorder="1" applyAlignment="1" applyProtection="1">
      <alignment horizontal="left" vertical="top" wrapText="1"/>
      <protection locked="0"/>
    </xf>
    <xf numFmtId="49" fontId="17" fillId="0" borderId="18" xfId="0" applyNumberFormat="1" applyFont="1" applyBorder="1" applyAlignment="1" applyProtection="1">
      <alignment horizontal="left" vertical="top" wrapText="1"/>
      <protection locked="0"/>
    </xf>
    <xf numFmtId="49" fontId="17" fillId="0" borderId="12" xfId="0" applyNumberFormat="1" applyFont="1" applyBorder="1" applyAlignment="1" applyProtection="1">
      <alignment horizontal="left" vertical="top" wrapText="1"/>
      <protection locked="0"/>
    </xf>
    <xf numFmtId="49" fontId="17" fillId="0" borderId="71" xfId="0" applyNumberFormat="1" applyFont="1" applyBorder="1" applyAlignment="1" applyProtection="1">
      <alignment horizontal="left" vertical="top" wrapText="1"/>
      <protection locked="0"/>
    </xf>
    <xf numFmtId="0" fontId="16" fillId="0" borderId="0" xfId="0" applyFont="1" applyProtection="1">
      <protection locked="0"/>
    </xf>
    <xf numFmtId="0" fontId="18" fillId="0" borderId="0" xfId="0" applyFont="1" applyAlignment="1">
      <alignment horizontal="right"/>
    </xf>
    <xf numFmtId="0" fontId="16" fillId="0" borderId="0" xfId="0" applyFont="1"/>
    <xf numFmtId="0" fontId="5" fillId="0" borderId="0" xfId="0" applyFont="1"/>
    <xf numFmtId="0" fontId="21" fillId="2" borderId="41" xfId="0" applyFont="1" applyFill="1" applyBorder="1" applyAlignment="1">
      <alignment horizontal="center"/>
    </xf>
    <xf numFmtId="0" fontId="21" fillId="2" borderId="40" xfId="0" applyFont="1" applyFill="1" applyBorder="1" applyAlignment="1">
      <alignment horizontal="center"/>
    </xf>
    <xf numFmtId="0" fontId="21" fillId="3" borderId="40" xfId="0" applyFont="1" applyFill="1" applyBorder="1" applyAlignment="1">
      <alignment horizontal="center"/>
    </xf>
    <xf numFmtId="0" fontId="21" fillId="10" borderId="40" xfId="0" applyFont="1" applyFill="1" applyBorder="1" applyAlignment="1">
      <alignment horizontal="center"/>
    </xf>
    <xf numFmtId="0" fontId="21" fillId="10" borderId="39" xfId="0" applyFont="1" applyFill="1" applyBorder="1" applyAlignment="1">
      <alignment horizontal="center"/>
    </xf>
    <xf numFmtId="0" fontId="26" fillId="2" borderId="32" xfId="0" applyFont="1" applyFill="1" applyBorder="1"/>
    <xf numFmtId="0" fontId="26" fillId="2" borderId="31" xfId="0" applyFont="1" applyFill="1" applyBorder="1" applyAlignment="1">
      <alignment horizontal="center"/>
    </xf>
    <xf numFmtId="0" fontId="26" fillId="3" borderId="31" xfId="0" applyFont="1" applyFill="1" applyBorder="1" applyAlignment="1">
      <alignment horizontal="center"/>
    </xf>
    <xf numFmtId="0" fontId="21" fillId="10" borderId="31" xfId="0" applyFont="1" applyFill="1" applyBorder="1" applyAlignment="1">
      <alignment horizontal="center"/>
    </xf>
    <xf numFmtId="0" fontId="26" fillId="10" borderId="30" xfId="0" applyFont="1" applyFill="1" applyBorder="1"/>
    <xf numFmtId="0" fontId="26" fillId="2" borderId="37" xfId="0" applyFont="1" applyFill="1" applyBorder="1"/>
    <xf numFmtId="0" fontId="26" fillId="2" borderId="36" xfId="0" applyFont="1" applyFill="1" applyBorder="1"/>
    <xf numFmtId="0" fontId="26" fillId="2" borderId="10" xfId="0" applyFont="1" applyFill="1" applyBorder="1"/>
    <xf numFmtId="0" fontId="26" fillId="2" borderId="35" xfId="0" applyFont="1" applyFill="1" applyBorder="1"/>
    <xf numFmtId="15" fontId="26" fillId="3" borderId="34" xfId="0" applyNumberFormat="1" applyFont="1" applyFill="1" applyBorder="1" applyAlignment="1">
      <alignment horizontal="center"/>
    </xf>
    <xf numFmtId="0" fontId="26" fillId="10" borderId="34" xfId="0" applyFont="1" applyFill="1" applyBorder="1"/>
    <xf numFmtId="0" fontId="26" fillId="10" borderId="33" xfId="0" applyFont="1" applyFill="1" applyBorder="1" applyAlignment="1">
      <alignment horizontal="center"/>
    </xf>
    <xf numFmtId="49" fontId="17" fillId="0" borderId="26" xfId="0" applyNumberFormat="1" applyFont="1" applyBorder="1" applyAlignment="1" applyProtection="1">
      <alignment horizontal="left" vertical="top" wrapText="1"/>
      <protection locked="0"/>
    </xf>
    <xf numFmtId="0" fontId="3" fillId="0" borderId="0" xfId="0" applyFont="1"/>
    <xf numFmtId="0" fontId="33" fillId="0" borderId="47" xfId="0" applyFont="1" applyBorder="1" applyAlignment="1">
      <alignment horizontal="center" vertical="center" wrapText="1"/>
    </xf>
    <xf numFmtId="0" fontId="36" fillId="0" borderId="0" xfId="0" applyFont="1" applyAlignment="1">
      <alignment horizontal="left" vertical="center"/>
    </xf>
    <xf numFmtId="0" fontId="11" fillId="0" borderId="0" xfId="0" applyFont="1" applyAlignment="1">
      <alignment vertical="top"/>
    </xf>
    <xf numFmtId="0" fontId="11" fillId="0" borderId="0" xfId="0" applyFont="1" applyAlignment="1">
      <alignment vertical="top" wrapText="1"/>
    </xf>
    <xf numFmtId="16" fontId="28" fillId="0" borderId="0" xfId="0" applyNumberFormat="1" applyFont="1"/>
    <xf numFmtId="0" fontId="11" fillId="9" borderId="0" xfId="0" applyFont="1" applyFill="1" applyAlignment="1">
      <alignment horizontal="justify"/>
    </xf>
    <xf numFmtId="0" fontId="11" fillId="9" borderId="0" xfId="0" applyFont="1" applyFill="1"/>
    <xf numFmtId="0" fontId="11" fillId="9" borderId="0" xfId="0" applyFont="1" applyFill="1" applyAlignment="1">
      <alignment horizontal="left"/>
    </xf>
    <xf numFmtId="0" fontId="11" fillId="8" borderId="0" xfId="0" applyFont="1" applyFill="1" applyAlignment="1">
      <alignment vertical="top"/>
    </xf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9" fillId="0" borderId="64" xfId="0" applyFont="1" applyBorder="1" applyAlignment="1">
      <alignment horizontal="center" vertical="center" wrapText="1"/>
    </xf>
    <xf numFmtId="0" fontId="8" fillId="0" borderId="53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8" fillId="0" borderId="52" xfId="0" applyFont="1" applyBorder="1" applyAlignment="1">
      <alignment horizontal="center" vertical="center" wrapText="1"/>
    </xf>
    <xf numFmtId="0" fontId="32" fillId="0" borderId="47" xfId="0" applyFont="1" applyBorder="1" applyAlignment="1">
      <alignment vertical="center" wrapText="1"/>
    </xf>
    <xf numFmtId="0" fontId="32" fillId="0" borderId="46" xfId="0" applyFont="1" applyBorder="1" applyAlignment="1">
      <alignment vertical="center" wrapText="1"/>
    </xf>
    <xf numFmtId="0" fontId="32" fillId="0" borderId="55" xfId="0" applyFont="1" applyBorder="1" applyAlignment="1">
      <alignment vertical="center" wrapText="1"/>
    </xf>
    <xf numFmtId="0" fontId="32" fillId="0" borderId="54" xfId="0" applyFont="1" applyBorder="1" applyAlignment="1">
      <alignment vertical="center" wrapText="1"/>
    </xf>
    <xf numFmtId="0" fontId="32" fillId="0" borderId="54" xfId="0" applyFont="1" applyBorder="1" applyAlignment="1">
      <alignment horizontal="center" vertical="center" wrapText="1"/>
    </xf>
    <xf numFmtId="0" fontId="32" fillId="0" borderId="53" xfId="0" applyFont="1" applyBorder="1" applyAlignment="1">
      <alignment horizontal="center" vertical="center" wrapText="1"/>
    </xf>
    <xf numFmtId="0" fontId="32" fillId="0" borderId="52" xfId="0" applyFont="1" applyBorder="1" applyAlignment="1">
      <alignment horizontal="center" vertical="center" wrapText="1"/>
    </xf>
    <xf numFmtId="0" fontId="32" fillId="0" borderId="47" xfId="0" applyFont="1" applyBorder="1" applyAlignment="1">
      <alignment horizontal="center" vertical="center" wrapText="1"/>
    </xf>
    <xf numFmtId="0" fontId="28" fillId="0" borderId="53" xfId="0" applyFont="1" applyBorder="1" applyAlignment="1">
      <alignment vertical="center" wrapText="1"/>
    </xf>
    <xf numFmtId="0" fontId="28" fillId="0" borderId="47" xfId="0" applyFont="1" applyBorder="1" applyAlignment="1">
      <alignment vertical="top" wrapText="1"/>
    </xf>
    <xf numFmtId="0" fontId="28" fillId="0" borderId="43" xfId="0" applyFont="1" applyBorder="1" applyAlignment="1">
      <alignment vertical="top" wrapText="1"/>
    </xf>
    <xf numFmtId="0" fontId="32" fillId="0" borderId="43" xfId="0" applyFont="1" applyBorder="1" applyAlignment="1">
      <alignment vertical="center" wrapText="1"/>
    </xf>
    <xf numFmtId="0" fontId="32" fillId="0" borderId="42" xfId="0" applyFont="1" applyBorder="1" applyAlignment="1">
      <alignment vertical="center" wrapText="1"/>
    </xf>
    <xf numFmtId="0" fontId="31" fillId="0" borderId="0" xfId="0" applyFont="1"/>
    <xf numFmtId="0" fontId="6" fillId="0" borderId="0" xfId="0" applyFont="1"/>
    <xf numFmtId="0" fontId="10" fillId="8" borderId="0" xfId="0" applyFont="1" applyFill="1"/>
    <xf numFmtId="0" fontId="26" fillId="11" borderId="1" xfId="0" applyFont="1" applyFill="1" applyBorder="1" applyAlignment="1">
      <alignment horizontal="center" vertical="center"/>
    </xf>
    <xf numFmtId="0" fontId="17" fillId="0" borderId="12" xfId="0" applyFont="1" applyBorder="1" applyAlignment="1" applyProtection="1">
      <alignment vertical="top" wrapText="1"/>
      <protection locked="0"/>
    </xf>
    <xf numFmtId="0" fontId="17" fillId="0" borderId="18" xfId="0" applyFont="1" applyBorder="1" applyAlignment="1" applyProtection="1">
      <alignment vertical="top" wrapText="1"/>
      <protection locked="0"/>
    </xf>
    <xf numFmtId="0" fontId="17" fillId="0" borderId="23" xfId="0" applyFont="1" applyBorder="1" applyAlignment="1" applyProtection="1">
      <alignment vertical="top" wrapText="1"/>
      <protection locked="0"/>
    </xf>
    <xf numFmtId="0" fontId="26" fillId="12" borderId="1" xfId="0" applyFont="1" applyFill="1" applyBorder="1" applyAlignment="1">
      <alignment horizontal="center" vertical="center"/>
    </xf>
    <xf numFmtId="0" fontId="26" fillId="13" borderId="1" xfId="0" applyFont="1" applyFill="1" applyBorder="1" applyAlignment="1">
      <alignment horizontal="center" vertical="center"/>
    </xf>
    <xf numFmtId="49" fontId="19" fillId="0" borderId="10" xfId="0" applyNumberFormat="1" applyFont="1" applyBorder="1" applyProtection="1">
      <protection locked="0"/>
    </xf>
    <xf numFmtId="0" fontId="17" fillId="0" borderId="21" xfId="0" applyFont="1" applyBorder="1" applyAlignment="1" applyProtection="1">
      <alignment horizontal="center" vertical="center" wrapText="1"/>
      <protection locked="0"/>
    </xf>
    <xf numFmtId="0" fontId="17" fillId="0" borderId="18" xfId="0" applyFont="1" applyBorder="1" applyAlignment="1" applyProtection="1">
      <alignment horizontal="center" vertical="center" wrapText="1"/>
      <protection locked="0"/>
    </xf>
    <xf numFmtId="0" fontId="17" fillId="0" borderId="17" xfId="0" applyFont="1" applyBorder="1" applyAlignment="1" applyProtection="1">
      <alignment horizontal="center" vertical="center" wrapText="1"/>
      <protection locked="0"/>
    </xf>
    <xf numFmtId="0" fontId="17" fillId="0" borderId="75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17" fillId="0" borderId="16" xfId="0" applyFont="1" applyBorder="1" applyAlignment="1" applyProtection="1">
      <alignment horizontal="center" vertical="center" wrapText="1"/>
      <protection locked="0"/>
    </xf>
    <xf numFmtId="0" fontId="17" fillId="0" borderId="7" xfId="0" applyFont="1" applyBorder="1" applyAlignment="1" applyProtection="1">
      <alignment horizontal="center" vertical="center" wrapText="1"/>
      <protection locked="0"/>
    </xf>
    <xf numFmtId="0" fontId="17" fillId="4" borderId="21" xfId="0" applyFont="1" applyFill="1" applyBorder="1" applyAlignment="1" applyProtection="1">
      <alignment horizontal="center" vertical="center" wrapText="1"/>
      <protection locked="0"/>
    </xf>
    <xf numFmtId="0" fontId="17" fillId="4" borderId="18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6" borderId="18" xfId="0" applyFont="1" applyFill="1" applyBorder="1" applyAlignment="1" applyProtection="1">
      <alignment horizontal="center" vertical="center" wrapText="1"/>
      <protection locked="0"/>
    </xf>
    <xf numFmtId="0" fontId="17" fillId="7" borderId="18" xfId="0" applyFont="1" applyFill="1" applyBorder="1" applyAlignment="1" applyProtection="1">
      <alignment horizontal="center" vertical="center" wrapText="1"/>
      <protection locked="0"/>
    </xf>
    <xf numFmtId="0" fontId="17" fillId="8" borderId="21" xfId="0" applyFont="1" applyFill="1" applyBorder="1" applyAlignment="1" applyProtection="1">
      <alignment horizontal="center" vertical="center" wrapText="1"/>
      <protection locked="0"/>
    </xf>
    <xf numFmtId="0" fontId="19" fillId="9" borderId="0" xfId="0" applyFont="1" applyFill="1" applyAlignment="1">
      <alignment horizontal="center"/>
    </xf>
    <xf numFmtId="0" fontId="0" fillId="9" borderId="0" xfId="0" applyFill="1"/>
    <xf numFmtId="0" fontId="1" fillId="0" borderId="0" xfId="0" applyFont="1" applyAlignment="1">
      <alignment horizontal="center" vertical="center"/>
    </xf>
    <xf numFmtId="0" fontId="39" fillId="0" borderId="21" xfId="0" applyFont="1" applyBorder="1" applyAlignment="1" applyProtection="1">
      <alignment horizontal="center" vertical="center" wrapText="1"/>
      <protection locked="0"/>
    </xf>
    <xf numFmtId="0" fontId="40" fillId="0" borderId="21" xfId="0" applyFont="1" applyBorder="1" applyAlignment="1" applyProtection="1">
      <alignment horizontal="center" vertical="center" wrapText="1"/>
      <protection locked="0"/>
    </xf>
    <xf numFmtId="0" fontId="8" fillId="0" borderId="63" xfId="0" applyFont="1" applyBorder="1" applyAlignment="1">
      <alignment horizontal="center" vertical="center" wrapText="1"/>
    </xf>
    <xf numFmtId="0" fontId="17" fillId="0" borderId="21" xfId="0" applyFont="1" applyBorder="1" applyAlignment="1" applyProtection="1">
      <alignment vertical="top" wrapText="1"/>
      <protection locked="0"/>
    </xf>
    <xf numFmtId="0" fontId="17" fillId="0" borderId="2" xfId="0" applyFont="1" applyBorder="1" applyAlignment="1" applyProtection="1">
      <alignment vertical="top" wrapText="1"/>
      <protection locked="0"/>
    </xf>
    <xf numFmtId="0" fontId="41" fillId="0" borderId="0" xfId="0" applyFont="1"/>
    <xf numFmtId="0" fontId="42" fillId="15" borderId="1" xfId="0" applyFont="1" applyFill="1" applyBorder="1" applyAlignment="1">
      <alignment horizontal="center" vertical="center"/>
    </xf>
    <xf numFmtId="0" fontId="0" fillId="0" borderId="73" xfId="0" applyBorder="1"/>
    <xf numFmtId="0" fontId="43" fillId="16" borderId="0" xfId="0" applyFont="1" applyFill="1" applyAlignment="1">
      <alignment horizontal="center" vertical="center"/>
    </xf>
    <xf numFmtId="0" fontId="43" fillId="17" borderId="0" xfId="0" applyFont="1" applyFill="1" applyAlignment="1">
      <alignment horizontal="center" vertical="center"/>
    </xf>
    <xf numFmtId="0" fontId="43" fillId="18" borderId="0" xfId="0" applyFont="1" applyFill="1" applyAlignment="1">
      <alignment horizontal="center" vertical="center"/>
    </xf>
    <xf numFmtId="0" fontId="43" fillId="19" borderId="0" xfId="0" applyFont="1" applyFill="1" applyAlignment="1">
      <alignment horizontal="center" vertical="center"/>
    </xf>
    <xf numFmtId="0" fontId="43" fillId="20" borderId="0" xfId="0" applyFont="1" applyFill="1" applyAlignment="1">
      <alignment horizontal="center" vertical="center"/>
    </xf>
    <xf numFmtId="0" fontId="12" fillId="21" borderId="0" xfId="0" applyFont="1" applyFill="1" applyAlignment="1">
      <alignment horizontal="center" vertical="top" wrapText="1"/>
    </xf>
    <xf numFmtId="0" fontId="12" fillId="22" borderId="0" xfId="0" applyFont="1" applyFill="1" applyAlignment="1">
      <alignment horizontal="center" vertical="top" wrapText="1"/>
    </xf>
    <xf numFmtId="0" fontId="12" fillId="23" borderId="0" xfId="0" applyFont="1" applyFill="1" applyAlignment="1">
      <alignment horizontal="center" vertical="top" wrapText="1"/>
    </xf>
    <xf numFmtId="0" fontId="12" fillId="24" borderId="0" xfId="0" applyFont="1" applyFill="1" applyAlignment="1">
      <alignment horizontal="center" vertical="top" wrapText="1"/>
    </xf>
    <xf numFmtId="0" fontId="12" fillId="25" borderId="0" xfId="0" applyFont="1" applyFill="1" applyAlignment="1">
      <alignment horizontal="center" vertical="top" wrapText="1"/>
    </xf>
    <xf numFmtId="49" fontId="17" fillId="0" borderId="10" xfId="0" applyNumberFormat="1" applyFont="1" applyBorder="1" applyAlignment="1" applyProtection="1">
      <alignment horizontal="left"/>
      <protection locked="0"/>
    </xf>
    <xf numFmtId="0" fontId="42" fillId="15" borderId="5" xfId="0" applyFont="1" applyFill="1" applyBorder="1" applyAlignment="1">
      <alignment horizontal="center" vertical="center"/>
    </xf>
    <xf numFmtId="0" fontId="42" fillId="15" borderId="4" xfId="0" applyFont="1" applyFill="1" applyBorder="1" applyAlignment="1">
      <alignment horizontal="center" vertical="center"/>
    </xf>
    <xf numFmtId="0" fontId="42" fillId="15" borderId="3" xfId="0" applyFont="1" applyFill="1" applyBorder="1" applyAlignment="1">
      <alignment horizontal="center" vertical="center"/>
    </xf>
    <xf numFmtId="0" fontId="42" fillId="15" borderId="6" xfId="0" applyFont="1" applyFill="1" applyBorder="1" applyAlignment="1">
      <alignment horizontal="center" vertical="center"/>
    </xf>
    <xf numFmtId="0" fontId="42" fillId="15" borderId="2" xfId="0" applyFont="1" applyFill="1" applyBorder="1" applyAlignment="1">
      <alignment horizontal="center" vertical="center"/>
    </xf>
    <xf numFmtId="0" fontId="42" fillId="14" borderId="5" xfId="0" applyFont="1" applyFill="1" applyBorder="1" applyAlignment="1">
      <alignment horizontal="center" vertical="center"/>
    </xf>
    <xf numFmtId="0" fontId="42" fillId="14" borderId="4" xfId="0" applyFont="1" applyFill="1" applyBorder="1" applyAlignment="1">
      <alignment horizontal="center" vertical="center"/>
    </xf>
    <xf numFmtId="0" fontId="42" fillId="14" borderId="3" xfId="0" applyFont="1" applyFill="1" applyBorder="1" applyAlignment="1">
      <alignment horizontal="center" vertical="center"/>
    </xf>
    <xf numFmtId="0" fontId="42" fillId="14" borderId="67" xfId="0" applyFont="1" applyFill="1" applyBorder="1" applyAlignment="1">
      <alignment horizontal="center" vertical="center"/>
    </xf>
    <xf numFmtId="0" fontId="42" fillId="14" borderId="66" xfId="0" applyFont="1" applyFill="1" applyBorder="1" applyAlignment="1">
      <alignment horizontal="center" vertical="center"/>
    </xf>
    <xf numFmtId="0" fontId="42" fillId="14" borderId="15" xfId="0" applyFont="1" applyFill="1" applyBorder="1" applyAlignment="1">
      <alignment horizontal="center" vertical="center"/>
    </xf>
    <xf numFmtId="0" fontId="42" fillId="14" borderId="12" xfId="0" applyFont="1" applyFill="1" applyBorder="1" applyAlignment="1">
      <alignment horizontal="center" vertical="center"/>
    </xf>
    <xf numFmtId="0" fontId="42" fillId="14" borderId="6" xfId="0" applyFont="1" applyFill="1" applyBorder="1" applyAlignment="1">
      <alignment horizontal="center" vertical="center"/>
    </xf>
    <xf numFmtId="0" fontId="42" fillId="14" borderId="2" xfId="0" applyFont="1" applyFill="1" applyBorder="1" applyAlignment="1">
      <alignment horizontal="center" vertical="center"/>
    </xf>
    <xf numFmtId="0" fontId="17" fillId="0" borderId="23" xfId="0" applyFont="1" applyBorder="1" applyAlignment="1" applyProtection="1">
      <alignment horizontal="center" vertical="top" wrapText="1"/>
      <protection locked="0"/>
    </xf>
    <xf numFmtId="0" fontId="17" fillId="0" borderId="22" xfId="0" applyFont="1" applyBorder="1" applyAlignment="1" applyProtection="1">
      <alignment horizontal="center" vertical="top" wrapText="1"/>
      <protection locked="0"/>
    </xf>
    <xf numFmtId="0" fontId="17" fillId="0" borderId="20" xfId="0" applyFont="1" applyBorder="1" applyAlignment="1" applyProtection="1">
      <alignment horizontal="center" vertical="top" wrapText="1"/>
      <protection locked="0"/>
    </xf>
    <xf numFmtId="0" fontId="17" fillId="0" borderId="19" xfId="0" applyFont="1" applyBorder="1" applyAlignment="1" applyProtection="1">
      <alignment horizontal="center" vertical="top" wrapText="1"/>
      <protection locked="0"/>
    </xf>
    <xf numFmtId="49" fontId="19" fillId="0" borderId="10" xfId="0" applyNumberFormat="1" applyFont="1" applyBorder="1" applyAlignment="1" applyProtection="1">
      <alignment horizontal="left"/>
      <protection locked="0"/>
    </xf>
    <xf numFmtId="0" fontId="19" fillId="0" borderId="0" xfId="0" applyFont="1" applyAlignment="1">
      <alignment horizontal="right"/>
    </xf>
    <xf numFmtId="0" fontId="42" fillId="14" borderId="73" xfId="0" applyFont="1" applyFill="1" applyBorder="1" applyAlignment="1">
      <alignment horizontal="center" vertical="center"/>
    </xf>
    <xf numFmtId="0" fontId="42" fillId="14" borderId="65" xfId="0" applyFont="1" applyFill="1" applyBorder="1" applyAlignment="1">
      <alignment horizontal="center" vertical="center"/>
    </xf>
    <xf numFmtId="0" fontId="0" fillId="0" borderId="76" xfId="0" applyBorder="1" applyAlignment="1">
      <alignment horizontal="left"/>
    </xf>
    <xf numFmtId="0" fontId="17" fillId="0" borderId="8" xfId="0" applyFont="1" applyBorder="1" applyAlignment="1" applyProtection="1">
      <alignment horizontal="left"/>
      <protection locked="0"/>
    </xf>
    <xf numFmtId="0" fontId="17" fillId="0" borderId="20" xfId="0" applyFont="1" applyBorder="1" applyAlignment="1" applyProtection="1">
      <alignment horizontal="left" vertical="top" wrapText="1"/>
      <protection locked="0"/>
    </xf>
    <xf numFmtId="0" fontId="17" fillId="0" borderId="19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7" fillId="0" borderId="17" xfId="0" applyFont="1" applyBorder="1" applyAlignment="1" applyProtection="1">
      <alignment horizontal="left" vertical="top" wrapText="1"/>
      <protection locked="0"/>
    </xf>
    <xf numFmtId="0" fontId="17" fillId="0" borderId="16" xfId="0" applyFont="1" applyBorder="1" applyAlignment="1" applyProtection="1">
      <alignment horizontal="left" vertical="top" wrapText="1"/>
      <protection locked="0"/>
    </xf>
    <xf numFmtId="0" fontId="17" fillId="0" borderId="15" xfId="0" applyFont="1" applyBorder="1" applyAlignment="1" applyProtection="1">
      <alignment horizontal="left" vertical="top" wrapText="1"/>
      <protection locked="0"/>
    </xf>
    <xf numFmtId="0" fontId="17" fillId="0" borderId="12" xfId="0" applyFont="1" applyBorder="1" applyAlignment="1" applyProtection="1">
      <alignment horizontal="left" vertical="top" wrapText="1"/>
      <protection locked="0"/>
    </xf>
    <xf numFmtId="0" fontId="17" fillId="0" borderId="11" xfId="0" applyFont="1" applyBorder="1" applyAlignment="1" applyProtection="1">
      <alignment horizontal="left" vertical="top" wrapText="1"/>
      <protection locked="0"/>
    </xf>
    <xf numFmtId="0" fontId="17" fillId="0" borderId="17" xfId="0" applyFont="1" applyBorder="1" applyAlignment="1" applyProtection="1">
      <alignment horizontal="center" vertical="top" wrapText="1"/>
      <protection locked="0"/>
    </xf>
    <xf numFmtId="0" fontId="17" fillId="0" borderId="16" xfId="0" applyFont="1" applyBorder="1" applyAlignment="1" applyProtection="1">
      <alignment horizontal="center" vertical="top" wrapText="1"/>
      <protection locked="0"/>
    </xf>
    <xf numFmtId="0" fontId="17" fillId="0" borderId="18" xfId="0" applyFont="1" applyBorder="1" applyAlignment="1" applyProtection="1">
      <alignment horizontal="left" vertical="top" wrapText="1"/>
      <protection locked="0"/>
    </xf>
    <xf numFmtId="0" fontId="17" fillId="0" borderId="23" xfId="0" applyFont="1" applyBorder="1" applyAlignment="1" applyProtection="1">
      <alignment horizontal="left" vertical="top" wrapText="1"/>
      <protection locked="0"/>
    </xf>
    <xf numFmtId="0" fontId="17" fillId="0" borderId="22" xfId="0" applyFont="1" applyBorder="1" applyAlignment="1" applyProtection="1">
      <alignment horizontal="left" vertical="top" wrapText="1"/>
      <protection locked="0"/>
    </xf>
    <xf numFmtId="0" fontId="17" fillId="0" borderId="24" xfId="0" applyFont="1" applyBorder="1" applyAlignment="1" applyProtection="1">
      <alignment horizontal="left" vertical="top" wrapText="1"/>
      <protection locked="0"/>
    </xf>
    <xf numFmtId="0" fontId="42" fillId="14" borderId="74" xfId="0" applyFont="1" applyFill="1" applyBorder="1" applyAlignment="1">
      <alignment horizontal="center" vertical="center"/>
    </xf>
    <xf numFmtId="0" fontId="42" fillId="14" borderId="0" xfId="0" applyFont="1" applyFill="1" applyAlignment="1">
      <alignment horizontal="center" vertical="center"/>
    </xf>
    <xf numFmtId="0" fontId="42" fillId="14" borderId="7" xfId="0" applyFont="1" applyFill="1" applyBorder="1" applyAlignment="1">
      <alignment horizontal="center" vertical="center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17" fillId="0" borderId="7" xfId="0" applyFont="1" applyBorder="1" applyAlignment="1" applyProtection="1">
      <alignment horizontal="left" vertical="top" wrapText="1"/>
      <protection locked="0"/>
    </xf>
    <xf numFmtId="0" fontId="21" fillId="2" borderId="67" xfId="0" applyFont="1" applyFill="1" applyBorder="1" applyAlignment="1">
      <alignment horizontal="center" vertical="center"/>
    </xf>
    <xf numFmtId="0" fontId="21" fillId="2" borderId="66" xfId="0" applyFont="1" applyFill="1" applyBorder="1" applyAlignment="1">
      <alignment horizontal="center" vertical="center"/>
    </xf>
    <xf numFmtId="0" fontId="21" fillId="2" borderId="15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center" vertical="center"/>
    </xf>
    <xf numFmtId="0" fontId="26" fillId="2" borderId="5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2" borderId="4" xfId="0" applyFont="1" applyFill="1" applyBorder="1" applyAlignment="1">
      <alignment horizontal="center" vertical="center"/>
    </xf>
    <xf numFmtId="0" fontId="17" fillId="0" borderId="21" xfId="0" applyFont="1" applyBorder="1" applyAlignment="1" applyProtection="1">
      <alignment horizontal="left" vertical="top" wrapText="1"/>
      <protection locked="0"/>
    </xf>
    <xf numFmtId="0" fontId="21" fillId="2" borderId="5" xfId="0" applyFont="1" applyFill="1" applyBorder="1" applyAlignment="1">
      <alignment horizontal="center" vertical="center"/>
    </xf>
    <xf numFmtId="0" fontId="21" fillId="2" borderId="3" xfId="0" applyFont="1" applyFill="1" applyBorder="1" applyAlignment="1">
      <alignment horizontal="center" vertical="center"/>
    </xf>
    <xf numFmtId="0" fontId="21" fillId="2" borderId="4" xfId="0" applyFont="1" applyFill="1" applyBorder="1" applyAlignment="1">
      <alignment horizontal="center" vertical="center"/>
    </xf>
    <xf numFmtId="49" fontId="17" fillId="0" borderId="9" xfId="0" applyNumberFormat="1" applyFont="1" applyBorder="1" applyAlignment="1" applyProtection="1">
      <alignment horizontal="left"/>
      <protection locked="0"/>
    </xf>
    <xf numFmtId="0" fontId="19" fillId="0" borderId="10" xfId="0" applyFont="1" applyBorder="1" applyAlignment="1" applyProtection="1">
      <alignment horizontal="left"/>
      <protection locked="0"/>
    </xf>
    <xf numFmtId="49" fontId="22" fillId="0" borderId="10" xfId="0" applyNumberFormat="1" applyFont="1" applyBorder="1" applyAlignment="1" applyProtection="1">
      <alignment horizontal="left"/>
      <protection locked="0"/>
    </xf>
    <xf numFmtId="49" fontId="17" fillId="0" borderId="69" xfId="0" applyNumberFormat="1" applyFont="1" applyBorder="1" applyAlignment="1" applyProtection="1">
      <alignment horizontal="left" vertical="top" wrapText="1"/>
      <protection locked="0"/>
    </xf>
    <xf numFmtId="49" fontId="17" fillId="0" borderId="9" xfId="0" applyNumberFormat="1" applyFont="1" applyBorder="1" applyAlignment="1" applyProtection="1">
      <alignment horizontal="left" vertical="top" wrapText="1"/>
      <protection locked="0"/>
    </xf>
    <xf numFmtId="49" fontId="17" fillId="0" borderId="70" xfId="0" applyNumberFormat="1" applyFont="1" applyBorder="1" applyAlignment="1" applyProtection="1">
      <alignment horizontal="left" vertical="top" wrapText="1"/>
      <protection locked="0"/>
    </xf>
    <xf numFmtId="0" fontId="20" fillId="2" borderId="40" xfId="0" applyFont="1" applyFill="1" applyBorder="1" applyAlignment="1">
      <alignment horizontal="center"/>
    </xf>
    <xf numFmtId="0" fontId="23" fillId="2" borderId="31" xfId="0" applyFont="1" applyFill="1" applyBorder="1" applyAlignment="1">
      <alignment horizontal="center"/>
    </xf>
    <xf numFmtId="0" fontId="23" fillId="2" borderId="38" xfId="0" applyFont="1" applyFill="1" applyBorder="1" applyAlignment="1">
      <alignment horizontal="center"/>
    </xf>
    <xf numFmtId="0" fontId="23" fillId="2" borderId="34" xfId="0" applyFont="1" applyFill="1" applyBorder="1" applyAlignment="1">
      <alignment horizontal="center"/>
    </xf>
    <xf numFmtId="49" fontId="17" fillId="0" borderId="28" xfId="0" applyNumberFormat="1" applyFont="1" applyBorder="1" applyAlignment="1" applyProtection="1">
      <alignment horizontal="left" vertical="top" wrapText="1"/>
      <protection locked="0"/>
    </xf>
    <xf numFmtId="49" fontId="17" fillId="0" borderId="7" xfId="0" applyNumberFormat="1" applyFont="1" applyBorder="1" applyAlignment="1" applyProtection="1">
      <alignment horizontal="left" vertical="top" wrapText="1"/>
      <protection locked="0"/>
    </xf>
    <xf numFmtId="49" fontId="17" fillId="0" borderId="27" xfId="0" applyNumberFormat="1" applyFont="1" applyBorder="1" applyAlignment="1" applyProtection="1">
      <alignment horizontal="left" vertical="top" wrapText="1"/>
      <protection locked="0"/>
    </xf>
    <xf numFmtId="0" fontId="21" fillId="2" borderId="73" xfId="0" applyFont="1" applyFill="1" applyBorder="1" applyAlignment="1">
      <alignment horizontal="center" vertical="center"/>
    </xf>
    <xf numFmtId="0" fontId="21" fillId="2" borderId="65" xfId="0" applyFont="1" applyFill="1" applyBorder="1" applyAlignment="1">
      <alignment horizontal="center" vertical="center"/>
    </xf>
    <xf numFmtId="0" fontId="21" fillId="2" borderId="74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1" fillId="11" borderId="6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5" xfId="0" applyFont="1" applyFill="1" applyBorder="1" applyAlignment="1">
      <alignment horizontal="center" vertical="center"/>
    </xf>
    <xf numFmtId="0" fontId="21" fillId="11" borderId="4" xfId="0" applyFont="1" applyFill="1" applyBorder="1" applyAlignment="1">
      <alignment horizontal="center" vertical="center"/>
    </xf>
    <xf numFmtId="0" fontId="21" fillId="11" borderId="3" xfId="0" applyFont="1" applyFill="1" applyBorder="1" applyAlignment="1">
      <alignment horizontal="center" vertical="center"/>
    </xf>
    <xf numFmtId="0" fontId="21" fillId="2" borderId="6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1" fillId="13" borderId="6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/>
    </xf>
    <xf numFmtId="0" fontId="21" fillId="13" borderId="4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4" xfId="0" applyFont="1" applyFill="1" applyBorder="1" applyAlignment="1">
      <alignment horizontal="center" vertical="center"/>
    </xf>
    <xf numFmtId="0" fontId="21" fillId="12" borderId="3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14" fontId="0" fillId="0" borderId="76" xfId="0" applyNumberFormat="1" applyBorder="1" applyAlignment="1">
      <alignment horizontal="left"/>
    </xf>
    <xf numFmtId="49" fontId="17" fillId="0" borderId="20" xfId="0" applyNumberFormat="1" applyFont="1" applyBorder="1" applyAlignment="1" applyProtection="1">
      <alignment horizontal="left" vertical="top" wrapText="1"/>
      <protection locked="0"/>
    </xf>
    <xf numFmtId="49" fontId="17" fillId="0" borderId="19" xfId="0" applyNumberFormat="1" applyFont="1" applyBorder="1" applyAlignment="1" applyProtection="1">
      <alignment horizontal="left" vertical="top" wrapText="1"/>
      <protection locked="0"/>
    </xf>
    <xf numFmtId="49" fontId="17" fillId="0" borderId="18" xfId="0" applyNumberFormat="1" applyFont="1" applyBorder="1" applyAlignment="1" applyProtection="1">
      <alignment horizontal="left" vertical="top" wrapText="1"/>
      <protection locked="0"/>
    </xf>
    <xf numFmtId="49" fontId="16" fillId="0" borderId="18" xfId="0" applyNumberFormat="1" applyFont="1" applyBorder="1" applyAlignment="1" applyProtection="1">
      <alignment horizontal="left" vertical="top" wrapText="1"/>
      <protection locked="0"/>
    </xf>
    <xf numFmtId="49" fontId="16" fillId="0" borderId="20" xfId="0" applyNumberFormat="1" applyFont="1" applyBorder="1" applyAlignment="1" applyProtection="1">
      <alignment horizontal="left" vertical="top" wrapText="1"/>
      <protection locked="0"/>
    </xf>
    <xf numFmtId="49" fontId="16" fillId="0" borderId="19" xfId="0" applyNumberFormat="1" applyFont="1" applyBorder="1" applyAlignment="1" applyProtection="1">
      <alignment horizontal="left" vertical="top" wrapText="1"/>
      <protection locked="0"/>
    </xf>
    <xf numFmtId="0" fontId="20" fillId="2" borderId="5" xfId="0" applyFont="1" applyFill="1" applyBorder="1" applyAlignment="1">
      <alignment horizontal="center" vertical="center"/>
    </xf>
    <xf numFmtId="0" fontId="20" fillId="2" borderId="3" xfId="0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center" vertical="center"/>
    </xf>
    <xf numFmtId="49" fontId="17" fillId="0" borderId="15" xfId="0" applyNumberFormat="1" applyFont="1" applyBorder="1" applyAlignment="1" applyProtection="1">
      <alignment horizontal="left" vertical="top" wrapText="1"/>
      <protection locked="0"/>
    </xf>
    <xf numFmtId="49" fontId="17" fillId="0" borderId="12" xfId="0" applyNumberFormat="1" applyFont="1" applyBorder="1" applyAlignment="1" applyProtection="1">
      <alignment horizontal="left" vertical="top" wrapText="1"/>
      <protection locked="0"/>
    </xf>
    <xf numFmtId="49" fontId="17" fillId="0" borderId="13" xfId="0" applyNumberFormat="1" applyFont="1" applyBorder="1" applyAlignment="1" applyProtection="1">
      <alignment horizontal="left" vertical="top" wrapText="1"/>
      <protection locked="0"/>
    </xf>
    <xf numFmtId="49" fontId="17" fillId="0" borderId="21" xfId="0" applyNumberFormat="1" applyFont="1" applyBorder="1" applyAlignment="1" applyProtection="1">
      <alignment horizontal="left" vertical="top" wrapText="1"/>
      <protection locked="0"/>
    </xf>
    <xf numFmtId="49" fontId="16" fillId="0" borderId="21" xfId="0" applyNumberFormat="1" applyFont="1" applyBorder="1" applyAlignment="1" applyProtection="1">
      <alignment horizontal="left" vertical="top" wrapText="1"/>
      <protection locked="0"/>
    </xf>
    <xf numFmtId="49" fontId="16" fillId="0" borderId="23" xfId="0" applyNumberFormat="1" applyFont="1" applyBorder="1" applyAlignment="1" applyProtection="1">
      <alignment horizontal="left" vertical="top" wrapText="1"/>
      <protection locked="0"/>
    </xf>
    <xf numFmtId="49" fontId="17" fillId="0" borderId="23" xfId="0" applyNumberFormat="1" applyFont="1" applyBorder="1" applyAlignment="1" applyProtection="1">
      <alignment horizontal="left" vertical="top" wrapText="1"/>
      <protection locked="0"/>
    </xf>
    <xf numFmtId="49" fontId="17" fillId="0" borderId="22" xfId="0" applyNumberFormat="1" applyFont="1" applyBorder="1" applyAlignment="1" applyProtection="1">
      <alignment horizontal="left" vertical="top" wrapText="1"/>
      <protection locked="0"/>
    </xf>
    <xf numFmtId="0" fontId="20" fillId="2" borderId="67" xfId="0" applyFont="1" applyFill="1" applyBorder="1" applyAlignment="1">
      <alignment horizontal="center" vertical="center"/>
    </xf>
    <xf numFmtId="0" fontId="20" fillId="2" borderId="66" xfId="0" applyFont="1" applyFill="1" applyBorder="1" applyAlignment="1">
      <alignment horizontal="center" vertical="center"/>
    </xf>
    <xf numFmtId="0" fontId="20" fillId="2" borderId="15" xfId="0" applyFont="1" applyFill="1" applyBorder="1" applyAlignment="1">
      <alignment horizontal="center" vertical="center"/>
    </xf>
    <xf numFmtId="0" fontId="20" fillId="2" borderId="12" xfId="0" applyFont="1" applyFill="1" applyBorder="1" applyAlignment="1">
      <alignment horizontal="center" vertical="center"/>
    </xf>
    <xf numFmtId="49" fontId="16" fillId="0" borderId="9" xfId="0" applyNumberFormat="1" applyFont="1" applyBorder="1" applyAlignment="1" applyProtection="1">
      <alignment horizontal="left"/>
      <protection locked="0"/>
    </xf>
    <xf numFmtId="49" fontId="18" fillId="0" borderId="10" xfId="0" applyNumberFormat="1" applyFont="1" applyBorder="1" applyAlignment="1" applyProtection="1">
      <alignment horizontal="left"/>
      <protection locked="0"/>
    </xf>
    <xf numFmtId="0" fontId="21" fillId="2" borderId="40" xfId="0" applyFont="1" applyFill="1" applyBorder="1" applyAlignment="1">
      <alignment horizontal="center"/>
    </xf>
    <xf numFmtId="0" fontId="44" fillId="17" borderId="81" xfId="0" applyFont="1" applyFill="1" applyBorder="1" applyAlignment="1">
      <alignment horizontal="center" vertical="center" wrapText="1"/>
    </xf>
    <xf numFmtId="0" fontId="34" fillId="0" borderId="84" xfId="0" applyFont="1" applyBorder="1" applyAlignment="1">
      <alignment horizontal="center" vertical="center" wrapText="1"/>
    </xf>
    <xf numFmtId="0" fontId="44" fillId="18" borderId="82" xfId="0" applyFont="1" applyFill="1" applyBorder="1" applyAlignment="1">
      <alignment horizontal="center" vertical="center" wrapText="1"/>
    </xf>
    <xf numFmtId="0" fontId="34" fillId="0" borderId="62" xfId="0" applyFont="1" applyBorder="1" applyAlignment="1">
      <alignment horizontal="center" vertical="center" wrapText="1"/>
    </xf>
    <xf numFmtId="0" fontId="44" fillId="19" borderId="82" xfId="0" applyFont="1" applyFill="1" applyBorder="1" applyAlignment="1">
      <alignment horizontal="center" vertical="center" wrapText="1"/>
    </xf>
    <xf numFmtId="0" fontId="44" fillId="19" borderId="83" xfId="0" applyFont="1" applyFill="1" applyBorder="1" applyAlignment="1">
      <alignment horizontal="center" vertical="center" wrapText="1"/>
    </xf>
    <xf numFmtId="0" fontId="34" fillId="0" borderId="85" xfId="0" applyFont="1" applyBorder="1" applyAlignment="1">
      <alignment horizontal="center" vertical="center" wrapText="1"/>
    </xf>
    <xf numFmtId="0" fontId="44" fillId="20" borderId="95" xfId="0" applyFont="1" applyFill="1" applyBorder="1" applyAlignment="1">
      <alignment horizontal="center" vertical="center" wrapText="1"/>
    </xf>
    <xf numFmtId="0" fontId="34" fillId="0" borderId="96" xfId="0" applyFont="1" applyBorder="1" applyAlignment="1">
      <alignment horizontal="center" vertical="center" wrapText="1"/>
    </xf>
    <xf numFmtId="0" fontId="44" fillId="17" borderId="95" xfId="0" applyFont="1" applyFill="1" applyBorder="1" applyAlignment="1">
      <alignment horizontal="center" vertical="center" wrapText="1"/>
    </xf>
    <xf numFmtId="0" fontId="34" fillId="0" borderId="97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7" fillId="0" borderId="60" xfId="0" applyFont="1" applyBorder="1" applyAlignment="1">
      <alignment horizontal="center" vertical="center" textRotation="90" wrapText="1"/>
    </xf>
    <xf numFmtId="0" fontId="7" fillId="0" borderId="49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 textRotation="90" wrapText="1"/>
    </xf>
    <xf numFmtId="0" fontId="7" fillId="0" borderId="91" xfId="0" applyFont="1" applyBorder="1" applyAlignment="1">
      <alignment horizontal="center" vertical="center" wrapText="1"/>
    </xf>
    <xf numFmtId="0" fontId="7" fillId="0" borderId="92" xfId="0" applyFont="1" applyBorder="1" applyAlignment="1">
      <alignment horizontal="center" vertical="center" wrapText="1"/>
    </xf>
    <xf numFmtId="0" fontId="7" fillId="0" borderId="93" xfId="0" applyFont="1" applyBorder="1" applyAlignment="1">
      <alignment horizontal="center" vertical="center" wrapText="1"/>
    </xf>
    <xf numFmtId="0" fontId="32" fillId="0" borderId="77" xfId="0" applyFont="1" applyBorder="1" applyAlignment="1">
      <alignment vertical="center" wrapText="1"/>
    </xf>
    <xf numFmtId="0" fontId="32" fillId="0" borderId="78" xfId="0" applyFont="1" applyBorder="1" applyAlignment="1">
      <alignment vertical="center" wrapText="1"/>
    </xf>
    <xf numFmtId="0" fontId="44" fillId="17" borderId="86" xfId="0" applyFont="1" applyFill="1" applyBorder="1" applyAlignment="1">
      <alignment horizontal="center" vertical="center" wrapText="1"/>
    </xf>
    <xf numFmtId="0" fontId="34" fillId="0" borderId="94" xfId="0" applyFont="1" applyBorder="1" applyAlignment="1">
      <alignment horizontal="center" vertical="center" wrapText="1"/>
    </xf>
    <xf numFmtId="0" fontId="44" fillId="18" borderId="61" xfId="0" applyFont="1" applyFill="1" applyBorder="1" applyAlignment="1">
      <alignment horizontal="center" vertical="center" wrapText="1"/>
    </xf>
    <xf numFmtId="0" fontId="34" fillId="0" borderId="80" xfId="0" applyFont="1" applyBorder="1" applyAlignment="1">
      <alignment horizontal="center" vertical="center" wrapText="1"/>
    </xf>
    <xf numFmtId="0" fontId="44" fillId="19" borderId="61" xfId="0" applyFont="1" applyFill="1" applyBorder="1" applyAlignment="1">
      <alignment horizontal="center" vertical="center" wrapText="1"/>
    </xf>
    <xf numFmtId="0" fontId="44" fillId="20" borderId="61" xfId="0" applyFont="1" applyFill="1" applyBorder="1" applyAlignment="1">
      <alignment horizontal="center" vertical="center" wrapText="1"/>
    </xf>
    <xf numFmtId="0" fontId="44" fillId="20" borderId="87" xfId="0" applyFont="1" applyFill="1" applyBorder="1" applyAlignment="1">
      <alignment horizontal="center" vertical="center" wrapText="1"/>
    </xf>
    <xf numFmtId="0" fontId="44" fillId="18" borderId="87" xfId="0" applyFont="1" applyFill="1" applyBorder="1" applyAlignment="1">
      <alignment horizontal="center" vertical="center" wrapText="1"/>
    </xf>
    <xf numFmtId="0" fontId="44" fillId="18" borderId="95" xfId="0" applyFont="1" applyFill="1" applyBorder="1" applyAlignment="1">
      <alignment horizontal="center" vertical="center" wrapText="1"/>
    </xf>
    <xf numFmtId="0" fontId="37" fillId="0" borderId="77" xfId="0" applyFont="1" applyBorder="1" applyAlignment="1">
      <alignment vertical="center" wrapText="1"/>
    </xf>
    <xf numFmtId="0" fontId="37" fillId="0" borderId="78" xfId="0" applyFont="1" applyBorder="1" applyAlignment="1">
      <alignment vertical="center" wrapText="1"/>
    </xf>
    <xf numFmtId="0" fontId="44" fillId="17" borderId="61" xfId="0" applyFont="1" applyFill="1" applyBorder="1" applyAlignment="1">
      <alignment horizontal="center" vertical="center" wrapText="1"/>
    </xf>
    <xf numFmtId="0" fontId="37" fillId="0" borderId="79" xfId="0" applyFont="1" applyBorder="1" applyAlignment="1">
      <alignment vertical="center" wrapText="1"/>
    </xf>
    <xf numFmtId="0" fontId="44" fillId="16" borderId="86" xfId="0" applyFont="1" applyFill="1" applyBorder="1" applyAlignment="1">
      <alignment horizontal="center" vertical="center" wrapText="1"/>
    </xf>
    <xf numFmtId="0" fontId="34" fillId="0" borderId="88" xfId="0" applyFont="1" applyBorder="1" applyAlignment="1">
      <alignment horizontal="center" vertical="center" wrapText="1"/>
    </xf>
    <xf numFmtId="0" fontId="44" fillId="16" borderId="61" xfId="0" applyFont="1" applyFill="1" applyBorder="1" applyAlignment="1">
      <alignment horizontal="center" vertical="center" wrapText="1"/>
    </xf>
    <xf numFmtId="0" fontId="34" fillId="0" borderId="89" xfId="0" applyFont="1" applyBorder="1" applyAlignment="1">
      <alignment horizontal="center" vertical="center" wrapText="1"/>
    </xf>
    <xf numFmtId="0" fontId="44" fillId="17" borderId="87" xfId="0" applyFont="1" applyFill="1" applyBorder="1" applyAlignment="1">
      <alignment horizontal="center" vertical="center" wrapText="1"/>
    </xf>
    <xf numFmtId="0" fontId="34" fillId="0" borderId="90" xfId="0" applyFont="1" applyBorder="1" applyAlignment="1">
      <alignment horizontal="center" vertical="center" wrapText="1"/>
    </xf>
    <xf numFmtId="0" fontId="44" fillId="19" borderId="95" xfId="0" applyFont="1" applyFill="1" applyBorder="1" applyAlignment="1">
      <alignment horizontal="center" vertical="center" wrapText="1"/>
    </xf>
    <xf numFmtId="0" fontId="44" fillId="19" borderId="87" xfId="0" applyFont="1" applyFill="1" applyBorder="1" applyAlignment="1">
      <alignment horizontal="center" vertical="center" wrapText="1"/>
    </xf>
    <xf numFmtId="0" fontId="8" fillId="0" borderId="59" xfId="0" applyFont="1" applyBorder="1" applyAlignment="1">
      <alignment horizontal="center" vertical="center" wrapText="1"/>
    </xf>
    <xf numFmtId="0" fontId="8" fillId="0" borderId="58" xfId="0" applyFont="1" applyBorder="1" applyAlignment="1">
      <alignment horizontal="center" vertical="center" wrapText="1"/>
    </xf>
    <xf numFmtId="0" fontId="33" fillId="0" borderId="51" xfId="0" applyFont="1" applyBorder="1" applyAlignment="1">
      <alignment horizontal="center" vertical="center" wrapText="1"/>
    </xf>
    <xf numFmtId="0" fontId="33" fillId="0" borderId="50" xfId="0" applyFont="1" applyBorder="1" applyAlignment="1">
      <alignment horizontal="center" vertical="center" wrapText="1"/>
    </xf>
    <xf numFmtId="0" fontId="32" fillId="0" borderId="48" xfId="0" applyFont="1" applyBorder="1" applyAlignment="1">
      <alignment horizontal="center" vertical="center" wrapText="1"/>
    </xf>
    <xf numFmtId="0" fontId="32" fillId="0" borderId="46" xfId="0" applyFont="1" applyBorder="1" applyAlignment="1">
      <alignment horizontal="center" vertical="center" wrapText="1"/>
    </xf>
    <xf numFmtId="0" fontId="28" fillId="0" borderId="57" xfId="0" applyFont="1" applyBorder="1" applyAlignment="1">
      <alignment vertical="center" wrapText="1"/>
    </xf>
    <xf numFmtId="0" fontId="28" fillId="0" borderId="52" xfId="0" applyFont="1" applyBorder="1" applyAlignment="1">
      <alignment vertical="center" wrapText="1"/>
    </xf>
    <xf numFmtId="0" fontId="33" fillId="0" borderId="56" xfId="0" applyFont="1" applyBorder="1" applyAlignment="1">
      <alignment horizontal="center" vertical="center" wrapText="1"/>
    </xf>
    <xf numFmtId="0" fontId="33" fillId="0" borderId="54" xfId="0" applyFont="1" applyBorder="1" applyAlignment="1">
      <alignment horizontal="center" vertical="center" wrapText="1"/>
    </xf>
    <xf numFmtId="0" fontId="28" fillId="0" borderId="48" xfId="0" applyFont="1" applyBorder="1" applyAlignment="1">
      <alignment vertical="center" wrapText="1"/>
    </xf>
    <xf numFmtId="0" fontId="28" fillId="0" borderId="46" xfId="0" applyFont="1" applyBorder="1" applyAlignment="1">
      <alignment vertical="center" wrapText="1"/>
    </xf>
    <xf numFmtId="0" fontId="28" fillId="0" borderId="44" xfId="0" applyFont="1" applyBorder="1" applyAlignment="1">
      <alignment vertical="center" wrapText="1"/>
    </xf>
    <xf numFmtId="0" fontId="28" fillId="0" borderId="42" xfId="0" applyFont="1" applyBorder="1" applyAlignment="1">
      <alignment vertical="center" wrapText="1"/>
    </xf>
  </cellXfs>
  <cellStyles count="5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표준_HAZOP DEVIATIONS" xfId="4" xr:uid="{00000000-0005-0000-0000-000004000000}"/>
  </cellStyles>
  <dxfs count="5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5482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240030</xdr:colOff>
      <xdr:row>0</xdr:row>
      <xdr:rowOff>99060</xdr:rowOff>
    </xdr:from>
    <xdr:to>
      <xdr:col>25</xdr:col>
      <xdr:colOff>512446</xdr:colOff>
      <xdr:row>1</xdr:row>
      <xdr:rowOff>121920</xdr:rowOff>
    </xdr:to>
    <xdr:sp macro="[0]!AddReviseWorksheetNode" textlink="">
      <xdr:nvSpPr>
        <xdr:cNvPr id="2" name="Rounded Rectangle 4" descr="AddNode" title="AddNod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403205" y="99060"/>
          <a:ext cx="824866" cy="26098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Add Node</a:t>
          </a:r>
        </a:p>
      </xdr:txBody>
    </xdr:sp>
    <xdr:clientData fPrintsWithSheet="0"/>
  </xdr:twoCellAnchor>
  <xdr:twoCellAnchor>
    <xdr:from>
      <xdr:col>22</xdr:col>
      <xdr:colOff>11430</xdr:colOff>
      <xdr:row>0</xdr:row>
      <xdr:rowOff>95250</xdr:rowOff>
    </xdr:from>
    <xdr:to>
      <xdr:col>24</xdr:col>
      <xdr:colOff>64770</xdr:colOff>
      <xdr:row>1</xdr:row>
      <xdr:rowOff>123825</xdr:rowOff>
    </xdr:to>
    <xdr:sp macro="[0]!AddReviseWorksheetPage" textlink="">
      <xdr:nvSpPr>
        <xdr:cNvPr id="3" name="Rounded Rectangle 3" descr="AddNodePage" title="AddNodePag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9412605" y="95250"/>
          <a:ext cx="815340" cy="2667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Add Page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15</xdr:row>
          <xdr:rowOff>22860</xdr:rowOff>
        </xdr:from>
        <xdr:to>
          <xdr:col>17</xdr:col>
          <xdr:colOff>457200</xdr:colOff>
          <xdr:row>15</xdr:row>
          <xdr:rowOff>228600</xdr:rowOff>
        </xdr:to>
        <xdr:sp macro="" textlink="">
          <xdr:nvSpPr>
            <xdr:cNvPr id="17410" name="Check Box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F3DC4BBE-C4DC-6EEF-7362-E1C18BD2E0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15</xdr:row>
          <xdr:rowOff>22860</xdr:rowOff>
        </xdr:from>
        <xdr:to>
          <xdr:col>26</xdr:col>
          <xdr:colOff>457200</xdr:colOff>
          <xdr:row>15</xdr:row>
          <xdr:rowOff>228600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701B433F-E283-E520-408C-8B98E460F3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16</xdr:row>
          <xdr:rowOff>22860</xdr:rowOff>
        </xdr:from>
        <xdr:to>
          <xdr:col>17</xdr:col>
          <xdr:colOff>457200</xdr:colOff>
          <xdr:row>16</xdr:row>
          <xdr:rowOff>228600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3C49B380-A6DF-2086-6069-9F396E1B98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16</xdr:row>
          <xdr:rowOff>22860</xdr:rowOff>
        </xdr:from>
        <xdr:to>
          <xdr:col>26</xdr:col>
          <xdr:colOff>457200</xdr:colOff>
          <xdr:row>16</xdr:row>
          <xdr:rowOff>228600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9308EF33-DE33-B51F-80A7-CBFA27F905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17</xdr:row>
          <xdr:rowOff>22860</xdr:rowOff>
        </xdr:from>
        <xdr:to>
          <xdr:col>17</xdr:col>
          <xdr:colOff>457200</xdr:colOff>
          <xdr:row>17</xdr:row>
          <xdr:rowOff>228600</xdr:rowOff>
        </xdr:to>
        <xdr:sp macro="" textlink="">
          <xdr:nvSpPr>
            <xdr:cNvPr id="17414" name="Check Box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DC8B0F07-A24D-AC27-EA72-BC2D972DA0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17</xdr:row>
          <xdr:rowOff>22860</xdr:rowOff>
        </xdr:from>
        <xdr:to>
          <xdr:col>26</xdr:col>
          <xdr:colOff>457200</xdr:colOff>
          <xdr:row>17</xdr:row>
          <xdr:rowOff>228600</xdr:rowOff>
        </xdr:to>
        <xdr:sp macro="" textlink="">
          <xdr:nvSpPr>
            <xdr:cNvPr id="17415" name="Check Box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BA7B4E0F-5023-2F8E-553C-47ABA25BB4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18</xdr:row>
          <xdr:rowOff>22860</xdr:rowOff>
        </xdr:from>
        <xdr:to>
          <xdr:col>17</xdr:col>
          <xdr:colOff>457200</xdr:colOff>
          <xdr:row>18</xdr:row>
          <xdr:rowOff>228600</xdr:rowOff>
        </xdr:to>
        <xdr:sp macro="" textlink="">
          <xdr:nvSpPr>
            <xdr:cNvPr id="17416" name="Check Box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DD42B6B5-C33C-B169-EB1B-784EAB4EC2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18</xdr:row>
          <xdr:rowOff>22860</xdr:rowOff>
        </xdr:from>
        <xdr:to>
          <xdr:col>26</xdr:col>
          <xdr:colOff>457200</xdr:colOff>
          <xdr:row>18</xdr:row>
          <xdr:rowOff>228600</xdr:rowOff>
        </xdr:to>
        <xdr:sp macro="" textlink="">
          <xdr:nvSpPr>
            <xdr:cNvPr id="17417" name="Check Box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78632486-A04F-8007-4BC5-52B32DA7E8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19</xdr:row>
          <xdr:rowOff>22860</xdr:rowOff>
        </xdr:from>
        <xdr:to>
          <xdr:col>17</xdr:col>
          <xdr:colOff>457200</xdr:colOff>
          <xdr:row>19</xdr:row>
          <xdr:rowOff>228600</xdr:rowOff>
        </xdr:to>
        <xdr:sp macro="" textlink="">
          <xdr:nvSpPr>
            <xdr:cNvPr id="17418" name="Check Box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F18237A2-6452-D58A-17FE-500431A42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19</xdr:row>
          <xdr:rowOff>22860</xdr:rowOff>
        </xdr:from>
        <xdr:to>
          <xdr:col>26</xdr:col>
          <xdr:colOff>457200</xdr:colOff>
          <xdr:row>19</xdr:row>
          <xdr:rowOff>228600</xdr:rowOff>
        </xdr:to>
        <xdr:sp macro="" textlink="">
          <xdr:nvSpPr>
            <xdr:cNvPr id="17419" name="Check Box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DA809AE5-4238-9C08-B385-F078CB0FD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20</xdr:row>
          <xdr:rowOff>22860</xdr:rowOff>
        </xdr:from>
        <xdr:to>
          <xdr:col>17</xdr:col>
          <xdr:colOff>457200</xdr:colOff>
          <xdr:row>20</xdr:row>
          <xdr:rowOff>228600</xdr:rowOff>
        </xdr:to>
        <xdr:sp macro="" textlink="">
          <xdr:nvSpPr>
            <xdr:cNvPr id="17420" name="Check Box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91694D7-B5A4-E03C-FC1B-ED84F0B36F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20</xdr:row>
          <xdr:rowOff>22860</xdr:rowOff>
        </xdr:from>
        <xdr:to>
          <xdr:col>26</xdr:col>
          <xdr:colOff>457200</xdr:colOff>
          <xdr:row>20</xdr:row>
          <xdr:rowOff>228600</xdr:rowOff>
        </xdr:to>
        <xdr:sp macro="" textlink="">
          <xdr:nvSpPr>
            <xdr:cNvPr id="17421" name="Check Box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42B87FED-48DD-0610-F64A-C102D2FD1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21</xdr:row>
          <xdr:rowOff>22860</xdr:rowOff>
        </xdr:from>
        <xdr:to>
          <xdr:col>17</xdr:col>
          <xdr:colOff>457200</xdr:colOff>
          <xdr:row>21</xdr:row>
          <xdr:rowOff>228600</xdr:rowOff>
        </xdr:to>
        <xdr:sp macro="" textlink="">
          <xdr:nvSpPr>
            <xdr:cNvPr id="17422" name="Check Box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A240913A-5F8A-D0AD-926F-39DF86CFD0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21</xdr:row>
          <xdr:rowOff>22860</xdr:rowOff>
        </xdr:from>
        <xdr:to>
          <xdr:col>26</xdr:col>
          <xdr:colOff>457200</xdr:colOff>
          <xdr:row>21</xdr:row>
          <xdr:rowOff>228600</xdr:rowOff>
        </xdr:to>
        <xdr:sp macro="" textlink="">
          <xdr:nvSpPr>
            <xdr:cNvPr id="17423" name="Check Box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4B0B1989-4B75-AB66-BC85-F3777ED048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22</xdr:row>
          <xdr:rowOff>22860</xdr:rowOff>
        </xdr:from>
        <xdr:to>
          <xdr:col>17</xdr:col>
          <xdr:colOff>457200</xdr:colOff>
          <xdr:row>22</xdr:row>
          <xdr:rowOff>228600</xdr:rowOff>
        </xdr:to>
        <xdr:sp macro="" textlink="">
          <xdr:nvSpPr>
            <xdr:cNvPr id="17424" name="Check Box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332C848E-8D0E-FB78-0254-6CB61F420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22</xdr:row>
          <xdr:rowOff>22860</xdr:rowOff>
        </xdr:from>
        <xdr:to>
          <xdr:col>26</xdr:col>
          <xdr:colOff>457200</xdr:colOff>
          <xdr:row>22</xdr:row>
          <xdr:rowOff>228600</xdr:rowOff>
        </xdr:to>
        <xdr:sp macro="" textlink="">
          <xdr:nvSpPr>
            <xdr:cNvPr id="17425" name="Check Box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D697C3E5-E58F-5B63-0579-14A5F2508D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23</xdr:row>
          <xdr:rowOff>22860</xdr:rowOff>
        </xdr:from>
        <xdr:to>
          <xdr:col>17</xdr:col>
          <xdr:colOff>457200</xdr:colOff>
          <xdr:row>23</xdr:row>
          <xdr:rowOff>228600</xdr:rowOff>
        </xdr:to>
        <xdr:sp macro="" textlink="">
          <xdr:nvSpPr>
            <xdr:cNvPr id="17426" name="Check Box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6091957E-EAF1-9489-9A1B-49901D3417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23</xdr:row>
          <xdr:rowOff>22860</xdr:rowOff>
        </xdr:from>
        <xdr:to>
          <xdr:col>26</xdr:col>
          <xdr:colOff>457200</xdr:colOff>
          <xdr:row>23</xdr:row>
          <xdr:rowOff>228600</xdr:rowOff>
        </xdr:to>
        <xdr:sp macro="" textlink="">
          <xdr:nvSpPr>
            <xdr:cNvPr id="17427" name="Check Box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800E4368-40F7-5D24-1D85-43C4538B00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24</xdr:row>
          <xdr:rowOff>22860</xdr:rowOff>
        </xdr:from>
        <xdr:to>
          <xdr:col>17</xdr:col>
          <xdr:colOff>457200</xdr:colOff>
          <xdr:row>24</xdr:row>
          <xdr:rowOff>228600</xdr:rowOff>
        </xdr:to>
        <xdr:sp macro="" textlink="">
          <xdr:nvSpPr>
            <xdr:cNvPr id="17428" name="Check Box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8854EC86-5959-EF5E-3E26-0D4F8AEEC1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24</xdr:row>
          <xdr:rowOff>22860</xdr:rowOff>
        </xdr:from>
        <xdr:to>
          <xdr:col>26</xdr:col>
          <xdr:colOff>457200</xdr:colOff>
          <xdr:row>24</xdr:row>
          <xdr:rowOff>228600</xdr:rowOff>
        </xdr:to>
        <xdr:sp macro="" textlink="">
          <xdr:nvSpPr>
            <xdr:cNvPr id="17429" name="Check Box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50CA8956-74C8-38B6-D2EC-39F750F031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25</xdr:row>
          <xdr:rowOff>22860</xdr:rowOff>
        </xdr:from>
        <xdr:to>
          <xdr:col>17</xdr:col>
          <xdr:colOff>457200</xdr:colOff>
          <xdr:row>25</xdr:row>
          <xdr:rowOff>228600</xdr:rowOff>
        </xdr:to>
        <xdr:sp macro="" textlink="">
          <xdr:nvSpPr>
            <xdr:cNvPr id="17430" name="Check Box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2BBEAA11-3E58-BBFD-6F01-33BF83FEDB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25</xdr:row>
          <xdr:rowOff>22860</xdr:rowOff>
        </xdr:from>
        <xdr:to>
          <xdr:col>26</xdr:col>
          <xdr:colOff>457200</xdr:colOff>
          <xdr:row>25</xdr:row>
          <xdr:rowOff>228600</xdr:rowOff>
        </xdr:to>
        <xdr:sp macro="" textlink="">
          <xdr:nvSpPr>
            <xdr:cNvPr id="17431" name="Check Box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C4E04F12-9C98-ABE2-73B8-9E8AC009EA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26</xdr:row>
          <xdr:rowOff>22860</xdr:rowOff>
        </xdr:from>
        <xdr:to>
          <xdr:col>17</xdr:col>
          <xdr:colOff>457200</xdr:colOff>
          <xdr:row>26</xdr:row>
          <xdr:rowOff>228600</xdr:rowOff>
        </xdr:to>
        <xdr:sp macro="" textlink="">
          <xdr:nvSpPr>
            <xdr:cNvPr id="17432" name="Check Box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A6EC0576-9B15-6645-EBB3-9DE23EEFF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26</xdr:row>
          <xdr:rowOff>22860</xdr:rowOff>
        </xdr:from>
        <xdr:to>
          <xdr:col>26</xdr:col>
          <xdr:colOff>457200</xdr:colOff>
          <xdr:row>26</xdr:row>
          <xdr:rowOff>228600</xdr:rowOff>
        </xdr:to>
        <xdr:sp macro="" textlink="">
          <xdr:nvSpPr>
            <xdr:cNvPr id="17433" name="Check Box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5F0FE801-786B-60BC-3498-1D94EC0E6F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27</xdr:row>
          <xdr:rowOff>22860</xdr:rowOff>
        </xdr:from>
        <xdr:to>
          <xdr:col>17</xdr:col>
          <xdr:colOff>457200</xdr:colOff>
          <xdr:row>27</xdr:row>
          <xdr:rowOff>228600</xdr:rowOff>
        </xdr:to>
        <xdr:sp macro="" textlink="">
          <xdr:nvSpPr>
            <xdr:cNvPr id="17434" name="Check Box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34AE9371-D45D-AF0B-CB93-B8BC55AF51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27</xdr:row>
          <xdr:rowOff>22860</xdr:rowOff>
        </xdr:from>
        <xdr:to>
          <xdr:col>26</xdr:col>
          <xdr:colOff>457200</xdr:colOff>
          <xdr:row>27</xdr:row>
          <xdr:rowOff>228600</xdr:rowOff>
        </xdr:to>
        <xdr:sp macro="" textlink="">
          <xdr:nvSpPr>
            <xdr:cNvPr id="17435" name="Check Box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17CAEA06-4BA8-9DA0-47DD-62E1C2A82A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28</xdr:row>
          <xdr:rowOff>22860</xdr:rowOff>
        </xdr:from>
        <xdr:to>
          <xdr:col>17</xdr:col>
          <xdr:colOff>457200</xdr:colOff>
          <xdr:row>28</xdr:row>
          <xdr:rowOff>228600</xdr:rowOff>
        </xdr:to>
        <xdr:sp macro="" textlink="">
          <xdr:nvSpPr>
            <xdr:cNvPr id="17436" name="Check Box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720479FD-4C27-0D5C-4C32-5F17F0823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28</xdr:row>
          <xdr:rowOff>22860</xdr:rowOff>
        </xdr:from>
        <xdr:to>
          <xdr:col>26</xdr:col>
          <xdr:colOff>457200</xdr:colOff>
          <xdr:row>28</xdr:row>
          <xdr:rowOff>228600</xdr:rowOff>
        </xdr:to>
        <xdr:sp macro="" textlink="">
          <xdr:nvSpPr>
            <xdr:cNvPr id="17437" name="Check Box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F8085F32-65D4-0A75-3E12-F2019EF79E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29</xdr:row>
          <xdr:rowOff>22860</xdr:rowOff>
        </xdr:from>
        <xdr:to>
          <xdr:col>17</xdr:col>
          <xdr:colOff>457200</xdr:colOff>
          <xdr:row>29</xdr:row>
          <xdr:rowOff>228600</xdr:rowOff>
        </xdr:to>
        <xdr:sp macro="" textlink="">
          <xdr:nvSpPr>
            <xdr:cNvPr id="17438" name="Check Box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DAEFA29-931A-E514-9CC7-222F29902E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29</xdr:row>
          <xdr:rowOff>22860</xdr:rowOff>
        </xdr:from>
        <xdr:to>
          <xdr:col>26</xdr:col>
          <xdr:colOff>457200</xdr:colOff>
          <xdr:row>29</xdr:row>
          <xdr:rowOff>228600</xdr:rowOff>
        </xdr:to>
        <xdr:sp macro="" textlink="">
          <xdr:nvSpPr>
            <xdr:cNvPr id="17439" name="Check Box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7750F57C-831E-9879-3A75-87304E9E0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30</xdr:row>
          <xdr:rowOff>22860</xdr:rowOff>
        </xdr:from>
        <xdr:to>
          <xdr:col>17</xdr:col>
          <xdr:colOff>457200</xdr:colOff>
          <xdr:row>30</xdr:row>
          <xdr:rowOff>228600</xdr:rowOff>
        </xdr:to>
        <xdr:sp macro="" textlink="">
          <xdr:nvSpPr>
            <xdr:cNvPr id="17440" name="Check Box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1221BBE2-B21A-0153-DFD2-A2F21874B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30</xdr:row>
          <xdr:rowOff>22860</xdr:rowOff>
        </xdr:from>
        <xdr:to>
          <xdr:col>26</xdr:col>
          <xdr:colOff>457200</xdr:colOff>
          <xdr:row>30</xdr:row>
          <xdr:rowOff>228600</xdr:rowOff>
        </xdr:to>
        <xdr:sp macro="" textlink="">
          <xdr:nvSpPr>
            <xdr:cNvPr id="17441" name="Check Box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A3B93D14-045E-F42A-864D-9CEE6E86D7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31</xdr:row>
          <xdr:rowOff>22860</xdr:rowOff>
        </xdr:from>
        <xdr:to>
          <xdr:col>17</xdr:col>
          <xdr:colOff>457200</xdr:colOff>
          <xdr:row>31</xdr:row>
          <xdr:rowOff>228600</xdr:rowOff>
        </xdr:to>
        <xdr:sp macro="" textlink="">
          <xdr:nvSpPr>
            <xdr:cNvPr id="17442" name="Check Box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4E8FB8FC-5391-219D-38A4-DB33B2D3FF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31</xdr:row>
          <xdr:rowOff>22860</xdr:rowOff>
        </xdr:from>
        <xdr:to>
          <xdr:col>26</xdr:col>
          <xdr:colOff>457200</xdr:colOff>
          <xdr:row>31</xdr:row>
          <xdr:rowOff>228600</xdr:rowOff>
        </xdr:to>
        <xdr:sp macro="" textlink="">
          <xdr:nvSpPr>
            <xdr:cNvPr id="17443" name="Check Box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BA389302-5020-2AB9-A9B7-F43577B4C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32</xdr:row>
          <xdr:rowOff>22860</xdr:rowOff>
        </xdr:from>
        <xdr:to>
          <xdr:col>17</xdr:col>
          <xdr:colOff>457200</xdr:colOff>
          <xdr:row>32</xdr:row>
          <xdr:rowOff>228600</xdr:rowOff>
        </xdr:to>
        <xdr:sp macro="" textlink="">
          <xdr:nvSpPr>
            <xdr:cNvPr id="17444" name="Check Box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A0E70702-4A6B-88AB-A420-5A66E71712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32</xdr:row>
          <xdr:rowOff>22860</xdr:rowOff>
        </xdr:from>
        <xdr:to>
          <xdr:col>26</xdr:col>
          <xdr:colOff>457200</xdr:colOff>
          <xdr:row>32</xdr:row>
          <xdr:rowOff>228600</xdr:rowOff>
        </xdr:to>
        <xdr:sp macro="" textlink="">
          <xdr:nvSpPr>
            <xdr:cNvPr id="17445" name="Check Box 37" hidden="1">
              <a:extLst>
                <a:ext uri="{63B3BB69-23CF-44E3-9099-C40C66FF867C}">
                  <a14:compatExt spid="_x0000_s17445"/>
                </a:ext>
                <a:ext uri="{FF2B5EF4-FFF2-40B4-BE49-F238E27FC236}">
                  <a16:creationId xmlns:a16="http://schemas.microsoft.com/office/drawing/2014/main" id="{BF4CD6D5-0487-046E-792D-B9176B8E3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33</xdr:row>
          <xdr:rowOff>22860</xdr:rowOff>
        </xdr:from>
        <xdr:to>
          <xdr:col>17</xdr:col>
          <xdr:colOff>457200</xdr:colOff>
          <xdr:row>33</xdr:row>
          <xdr:rowOff>228600</xdr:rowOff>
        </xdr:to>
        <xdr:sp macro="" textlink="">
          <xdr:nvSpPr>
            <xdr:cNvPr id="17446" name="Check Box 38" hidden="1">
              <a:extLst>
                <a:ext uri="{63B3BB69-23CF-44E3-9099-C40C66FF867C}">
                  <a14:compatExt spid="_x0000_s17446"/>
                </a:ext>
                <a:ext uri="{FF2B5EF4-FFF2-40B4-BE49-F238E27FC236}">
                  <a16:creationId xmlns:a16="http://schemas.microsoft.com/office/drawing/2014/main" id="{9EB75A20-0C77-E994-7680-71C9A24877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33</xdr:row>
          <xdr:rowOff>22860</xdr:rowOff>
        </xdr:from>
        <xdr:to>
          <xdr:col>26</xdr:col>
          <xdr:colOff>457200</xdr:colOff>
          <xdr:row>33</xdr:row>
          <xdr:rowOff>228600</xdr:rowOff>
        </xdr:to>
        <xdr:sp macro="" textlink="">
          <xdr:nvSpPr>
            <xdr:cNvPr id="17447" name="Check Box 39" hidden="1">
              <a:extLst>
                <a:ext uri="{63B3BB69-23CF-44E3-9099-C40C66FF867C}">
                  <a14:compatExt spid="_x0000_s17447"/>
                </a:ext>
                <a:ext uri="{FF2B5EF4-FFF2-40B4-BE49-F238E27FC236}">
                  <a16:creationId xmlns:a16="http://schemas.microsoft.com/office/drawing/2014/main" id="{B74B649B-ECA0-9178-45E4-A97B47F94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34</xdr:row>
          <xdr:rowOff>22860</xdr:rowOff>
        </xdr:from>
        <xdr:to>
          <xdr:col>17</xdr:col>
          <xdr:colOff>457200</xdr:colOff>
          <xdr:row>34</xdr:row>
          <xdr:rowOff>228600</xdr:rowOff>
        </xdr:to>
        <xdr:sp macro="" textlink="">
          <xdr:nvSpPr>
            <xdr:cNvPr id="17448" name="Check Box 40" hidden="1">
              <a:extLst>
                <a:ext uri="{63B3BB69-23CF-44E3-9099-C40C66FF867C}">
                  <a14:compatExt spid="_x0000_s17448"/>
                </a:ext>
                <a:ext uri="{FF2B5EF4-FFF2-40B4-BE49-F238E27FC236}">
                  <a16:creationId xmlns:a16="http://schemas.microsoft.com/office/drawing/2014/main" id="{7538BC08-1B57-4BD2-12CB-5E81A48DBB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34</xdr:row>
          <xdr:rowOff>22860</xdr:rowOff>
        </xdr:from>
        <xdr:to>
          <xdr:col>26</xdr:col>
          <xdr:colOff>457200</xdr:colOff>
          <xdr:row>34</xdr:row>
          <xdr:rowOff>228600</xdr:rowOff>
        </xdr:to>
        <xdr:sp macro="" textlink="">
          <xdr:nvSpPr>
            <xdr:cNvPr id="17449" name="Check Box 41" hidden="1">
              <a:extLst>
                <a:ext uri="{63B3BB69-23CF-44E3-9099-C40C66FF867C}">
                  <a14:compatExt spid="_x0000_s17449"/>
                </a:ext>
                <a:ext uri="{FF2B5EF4-FFF2-40B4-BE49-F238E27FC236}">
                  <a16:creationId xmlns:a16="http://schemas.microsoft.com/office/drawing/2014/main" id="{F1A36C62-3B8B-AF2E-EEBA-679DF9F073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35</xdr:row>
          <xdr:rowOff>22860</xdr:rowOff>
        </xdr:from>
        <xdr:to>
          <xdr:col>17</xdr:col>
          <xdr:colOff>457200</xdr:colOff>
          <xdr:row>35</xdr:row>
          <xdr:rowOff>228600</xdr:rowOff>
        </xdr:to>
        <xdr:sp macro="" textlink="">
          <xdr:nvSpPr>
            <xdr:cNvPr id="17450" name="Check Box 42" hidden="1">
              <a:extLst>
                <a:ext uri="{63B3BB69-23CF-44E3-9099-C40C66FF867C}">
                  <a14:compatExt spid="_x0000_s17450"/>
                </a:ext>
                <a:ext uri="{FF2B5EF4-FFF2-40B4-BE49-F238E27FC236}">
                  <a16:creationId xmlns:a16="http://schemas.microsoft.com/office/drawing/2014/main" id="{BE75C108-6444-25CF-E71B-A6416B9779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35</xdr:row>
          <xdr:rowOff>22860</xdr:rowOff>
        </xdr:from>
        <xdr:to>
          <xdr:col>26</xdr:col>
          <xdr:colOff>457200</xdr:colOff>
          <xdr:row>35</xdr:row>
          <xdr:rowOff>228600</xdr:rowOff>
        </xdr:to>
        <xdr:sp macro="" textlink="">
          <xdr:nvSpPr>
            <xdr:cNvPr id="17451" name="Check Box 43" hidden="1">
              <a:extLst>
                <a:ext uri="{63B3BB69-23CF-44E3-9099-C40C66FF867C}">
                  <a14:compatExt spid="_x0000_s17451"/>
                </a:ext>
                <a:ext uri="{FF2B5EF4-FFF2-40B4-BE49-F238E27FC236}">
                  <a16:creationId xmlns:a16="http://schemas.microsoft.com/office/drawing/2014/main" id="{F0C4C791-55A0-9FD9-04DD-9FA2DC6DF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36</xdr:row>
          <xdr:rowOff>22860</xdr:rowOff>
        </xdr:from>
        <xdr:to>
          <xdr:col>17</xdr:col>
          <xdr:colOff>457200</xdr:colOff>
          <xdr:row>36</xdr:row>
          <xdr:rowOff>228600</xdr:rowOff>
        </xdr:to>
        <xdr:sp macro="" textlink="">
          <xdr:nvSpPr>
            <xdr:cNvPr id="17452" name="Check Box 44" hidden="1">
              <a:extLst>
                <a:ext uri="{63B3BB69-23CF-44E3-9099-C40C66FF867C}">
                  <a14:compatExt spid="_x0000_s17452"/>
                </a:ext>
                <a:ext uri="{FF2B5EF4-FFF2-40B4-BE49-F238E27FC236}">
                  <a16:creationId xmlns:a16="http://schemas.microsoft.com/office/drawing/2014/main" id="{D8ADD466-DD2C-7ADB-BB46-C978D7CCD8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36</xdr:row>
          <xdr:rowOff>22860</xdr:rowOff>
        </xdr:from>
        <xdr:to>
          <xdr:col>26</xdr:col>
          <xdr:colOff>457200</xdr:colOff>
          <xdr:row>36</xdr:row>
          <xdr:rowOff>228600</xdr:rowOff>
        </xdr:to>
        <xdr:sp macro="" textlink="">
          <xdr:nvSpPr>
            <xdr:cNvPr id="17453" name="Check Box 45" hidden="1">
              <a:extLst>
                <a:ext uri="{63B3BB69-23CF-44E3-9099-C40C66FF867C}">
                  <a14:compatExt spid="_x0000_s17453"/>
                </a:ext>
                <a:ext uri="{FF2B5EF4-FFF2-40B4-BE49-F238E27FC236}">
                  <a16:creationId xmlns:a16="http://schemas.microsoft.com/office/drawing/2014/main" id="{C7D4DA74-4C93-31C6-0A0A-490B454183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37</xdr:row>
          <xdr:rowOff>22860</xdr:rowOff>
        </xdr:from>
        <xdr:to>
          <xdr:col>17</xdr:col>
          <xdr:colOff>457200</xdr:colOff>
          <xdr:row>37</xdr:row>
          <xdr:rowOff>228600</xdr:rowOff>
        </xdr:to>
        <xdr:sp macro="" textlink="">
          <xdr:nvSpPr>
            <xdr:cNvPr id="17454" name="Check Box 46" hidden="1">
              <a:extLst>
                <a:ext uri="{63B3BB69-23CF-44E3-9099-C40C66FF867C}">
                  <a14:compatExt spid="_x0000_s17454"/>
                </a:ext>
                <a:ext uri="{FF2B5EF4-FFF2-40B4-BE49-F238E27FC236}">
                  <a16:creationId xmlns:a16="http://schemas.microsoft.com/office/drawing/2014/main" id="{292AE4D7-F319-D428-9F49-309F6B375C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37</xdr:row>
          <xdr:rowOff>22860</xdr:rowOff>
        </xdr:from>
        <xdr:to>
          <xdr:col>26</xdr:col>
          <xdr:colOff>457200</xdr:colOff>
          <xdr:row>37</xdr:row>
          <xdr:rowOff>228600</xdr:rowOff>
        </xdr:to>
        <xdr:sp macro="" textlink="">
          <xdr:nvSpPr>
            <xdr:cNvPr id="17455" name="Check Box 47" hidden="1">
              <a:extLst>
                <a:ext uri="{63B3BB69-23CF-44E3-9099-C40C66FF867C}">
                  <a14:compatExt spid="_x0000_s17455"/>
                </a:ext>
                <a:ext uri="{FF2B5EF4-FFF2-40B4-BE49-F238E27FC236}">
                  <a16:creationId xmlns:a16="http://schemas.microsoft.com/office/drawing/2014/main" id="{ED8AFA95-82C2-9827-FE86-71A60228E3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38</xdr:row>
          <xdr:rowOff>22860</xdr:rowOff>
        </xdr:from>
        <xdr:to>
          <xdr:col>17</xdr:col>
          <xdr:colOff>457200</xdr:colOff>
          <xdr:row>38</xdr:row>
          <xdr:rowOff>228600</xdr:rowOff>
        </xdr:to>
        <xdr:sp macro="" textlink="">
          <xdr:nvSpPr>
            <xdr:cNvPr id="17456" name="Check Box 48" hidden="1">
              <a:extLst>
                <a:ext uri="{63B3BB69-23CF-44E3-9099-C40C66FF867C}">
                  <a14:compatExt spid="_x0000_s17456"/>
                </a:ext>
                <a:ext uri="{FF2B5EF4-FFF2-40B4-BE49-F238E27FC236}">
                  <a16:creationId xmlns:a16="http://schemas.microsoft.com/office/drawing/2014/main" id="{C4D7B376-6760-6161-35F6-21F898BDB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38</xdr:row>
          <xdr:rowOff>22860</xdr:rowOff>
        </xdr:from>
        <xdr:to>
          <xdr:col>26</xdr:col>
          <xdr:colOff>457200</xdr:colOff>
          <xdr:row>38</xdr:row>
          <xdr:rowOff>228600</xdr:rowOff>
        </xdr:to>
        <xdr:sp macro="" textlink="">
          <xdr:nvSpPr>
            <xdr:cNvPr id="17457" name="Check Box 49" hidden="1">
              <a:extLst>
                <a:ext uri="{63B3BB69-23CF-44E3-9099-C40C66FF867C}">
                  <a14:compatExt spid="_x0000_s17457"/>
                </a:ext>
                <a:ext uri="{FF2B5EF4-FFF2-40B4-BE49-F238E27FC236}">
                  <a16:creationId xmlns:a16="http://schemas.microsoft.com/office/drawing/2014/main" id="{9CFD5198-79C2-059B-180E-F1B26682CD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160020</xdr:colOff>
          <xdr:row>39</xdr:row>
          <xdr:rowOff>22860</xdr:rowOff>
        </xdr:from>
        <xdr:to>
          <xdr:col>17</xdr:col>
          <xdr:colOff>457200</xdr:colOff>
          <xdr:row>39</xdr:row>
          <xdr:rowOff>228600</xdr:rowOff>
        </xdr:to>
        <xdr:sp macro="" textlink="">
          <xdr:nvSpPr>
            <xdr:cNvPr id="17458" name="Check Box 50" hidden="1">
              <a:extLst>
                <a:ext uri="{63B3BB69-23CF-44E3-9099-C40C66FF867C}">
                  <a14:compatExt spid="_x0000_s17458"/>
                </a:ext>
                <a:ext uri="{FF2B5EF4-FFF2-40B4-BE49-F238E27FC236}">
                  <a16:creationId xmlns:a16="http://schemas.microsoft.com/office/drawing/2014/main" id="{B448DB28-1056-F840-9D19-E1DE605B04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160020</xdr:colOff>
          <xdr:row>39</xdr:row>
          <xdr:rowOff>22860</xdr:rowOff>
        </xdr:from>
        <xdr:to>
          <xdr:col>26</xdr:col>
          <xdr:colOff>457200</xdr:colOff>
          <xdr:row>39</xdr:row>
          <xdr:rowOff>228600</xdr:rowOff>
        </xdr:to>
        <xdr:sp macro="" textlink="">
          <xdr:nvSpPr>
            <xdr:cNvPr id="17459" name="Check Box 51" hidden="1">
              <a:extLst>
                <a:ext uri="{63B3BB69-23CF-44E3-9099-C40C66FF867C}">
                  <a14:compatExt spid="_x0000_s17459"/>
                </a:ext>
                <a:ext uri="{FF2B5EF4-FFF2-40B4-BE49-F238E27FC236}">
                  <a16:creationId xmlns:a16="http://schemas.microsoft.com/office/drawing/2014/main" id="{E5A8A566-10FA-99A6-648F-6F227992BA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133350</xdr:colOff>
      <xdr:row>0</xdr:row>
      <xdr:rowOff>28575</xdr:rowOff>
    </xdr:from>
    <xdr:to>
      <xdr:col>15</xdr:col>
      <xdr:colOff>447675</xdr:colOff>
      <xdr:row>1</xdr:row>
      <xdr:rowOff>57150</xdr:rowOff>
    </xdr:to>
    <xdr:sp macro="[0]!AddWorksheetPage" textlink="">
      <xdr:nvSpPr>
        <xdr:cNvPr id="4" name="Rounded Rectangle 3" descr="AddNodePage" title="AddNodePag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067675" y="28575"/>
          <a:ext cx="876300" cy="2667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Add Page</a:t>
          </a:r>
        </a:p>
      </xdr:txBody>
    </xdr:sp>
    <xdr:clientData fPrintsWithSheet="0"/>
  </xdr:twoCellAnchor>
  <xdr:twoCellAnchor>
    <xdr:from>
      <xdr:col>15</xdr:col>
      <xdr:colOff>504824</xdr:colOff>
      <xdr:row>0</xdr:row>
      <xdr:rowOff>28575</xdr:rowOff>
    </xdr:from>
    <xdr:to>
      <xdr:col>17</xdr:col>
      <xdr:colOff>304800</xdr:colOff>
      <xdr:row>1</xdr:row>
      <xdr:rowOff>57150</xdr:rowOff>
    </xdr:to>
    <xdr:sp macro="[0]!AddWorksheetNode" textlink="">
      <xdr:nvSpPr>
        <xdr:cNvPr id="5" name="Rounded Rectangle 4" descr="AddNode" title="AddNode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001124" y="28575"/>
          <a:ext cx="923926" cy="2667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Add Node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144780</xdr:colOff>
          <xdr:row>15</xdr:row>
          <xdr:rowOff>0</xdr:rowOff>
        </xdr:from>
        <xdr:to>
          <xdr:col>17</xdr:col>
          <xdr:colOff>381000</xdr:colOff>
          <xdr:row>15</xdr:row>
          <xdr:rowOff>289560</xdr:rowOff>
        </xdr:to>
        <xdr:sp macro="" textlink="">
          <xdr:nvSpPr>
            <xdr:cNvPr id="18438" name="Check Box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C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144780</xdr:colOff>
          <xdr:row>16</xdr:row>
          <xdr:rowOff>0</xdr:rowOff>
        </xdr:from>
        <xdr:to>
          <xdr:col>17</xdr:col>
          <xdr:colOff>381000</xdr:colOff>
          <xdr:row>16</xdr:row>
          <xdr:rowOff>289560</xdr:rowOff>
        </xdr:to>
        <xdr:sp macro="" textlink="">
          <xdr:nvSpPr>
            <xdr:cNvPr id="18440" name="Check Box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144780</xdr:colOff>
          <xdr:row>17</xdr:row>
          <xdr:rowOff>0</xdr:rowOff>
        </xdr:from>
        <xdr:to>
          <xdr:col>17</xdr:col>
          <xdr:colOff>381000</xdr:colOff>
          <xdr:row>17</xdr:row>
          <xdr:rowOff>289560</xdr:rowOff>
        </xdr:to>
        <xdr:sp macro="" textlink="">
          <xdr:nvSpPr>
            <xdr:cNvPr id="18441" name="Check Box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144780</xdr:colOff>
          <xdr:row>18</xdr:row>
          <xdr:rowOff>0</xdr:rowOff>
        </xdr:from>
        <xdr:to>
          <xdr:col>17</xdr:col>
          <xdr:colOff>381000</xdr:colOff>
          <xdr:row>18</xdr:row>
          <xdr:rowOff>289560</xdr:rowOff>
        </xdr:to>
        <xdr:sp macro="" textlink="">
          <xdr:nvSpPr>
            <xdr:cNvPr id="18442" name="Check Box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144780</xdr:colOff>
          <xdr:row>19</xdr:row>
          <xdr:rowOff>0</xdr:rowOff>
        </xdr:from>
        <xdr:to>
          <xdr:col>17</xdr:col>
          <xdr:colOff>381000</xdr:colOff>
          <xdr:row>19</xdr:row>
          <xdr:rowOff>289560</xdr:rowOff>
        </xdr:to>
        <xdr:sp macro="" textlink="">
          <xdr:nvSpPr>
            <xdr:cNvPr id="18443" name="Check Box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C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144780</xdr:colOff>
          <xdr:row>20</xdr:row>
          <xdr:rowOff>0</xdr:rowOff>
        </xdr:from>
        <xdr:to>
          <xdr:col>17</xdr:col>
          <xdr:colOff>381000</xdr:colOff>
          <xdr:row>20</xdr:row>
          <xdr:rowOff>289560</xdr:rowOff>
        </xdr:to>
        <xdr:sp macro="" textlink="">
          <xdr:nvSpPr>
            <xdr:cNvPr id="18444" name="Check Box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C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144780</xdr:colOff>
          <xdr:row>21</xdr:row>
          <xdr:rowOff>0</xdr:rowOff>
        </xdr:from>
        <xdr:to>
          <xdr:col>17</xdr:col>
          <xdr:colOff>381000</xdr:colOff>
          <xdr:row>21</xdr:row>
          <xdr:rowOff>289560</xdr:rowOff>
        </xdr:to>
        <xdr:sp macro="" textlink="">
          <xdr:nvSpPr>
            <xdr:cNvPr id="18445" name="Check Box 13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0C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144780</xdr:colOff>
          <xdr:row>22</xdr:row>
          <xdr:rowOff>0</xdr:rowOff>
        </xdr:from>
        <xdr:to>
          <xdr:col>17</xdr:col>
          <xdr:colOff>381000</xdr:colOff>
          <xdr:row>22</xdr:row>
          <xdr:rowOff>289560</xdr:rowOff>
        </xdr:to>
        <xdr:sp macro="" textlink="">
          <xdr:nvSpPr>
            <xdr:cNvPr id="18446" name="Check Box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C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144780</xdr:colOff>
          <xdr:row>23</xdr:row>
          <xdr:rowOff>0</xdr:rowOff>
        </xdr:from>
        <xdr:to>
          <xdr:col>17</xdr:col>
          <xdr:colOff>381000</xdr:colOff>
          <xdr:row>23</xdr:row>
          <xdr:rowOff>289560</xdr:rowOff>
        </xdr:to>
        <xdr:sp macro="" textlink="">
          <xdr:nvSpPr>
            <xdr:cNvPr id="18447" name="Check Box 15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00000000-0008-0000-0C00-00000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144780</xdr:colOff>
          <xdr:row>24</xdr:row>
          <xdr:rowOff>0</xdr:rowOff>
        </xdr:from>
        <xdr:to>
          <xdr:col>17</xdr:col>
          <xdr:colOff>381000</xdr:colOff>
          <xdr:row>24</xdr:row>
          <xdr:rowOff>289560</xdr:rowOff>
        </xdr:to>
        <xdr:sp macro="" textlink="">
          <xdr:nvSpPr>
            <xdr:cNvPr id="18448" name="Check Box 16" hidden="1">
              <a:extLst>
                <a:ext uri="{63B3BB69-23CF-44E3-9099-C40C66FF867C}">
                  <a14:compatExt spid="_x0000_s18448"/>
                </a:ext>
                <a:ext uri="{FF2B5EF4-FFF2-40B4-BE49-F238E27FC236}">
                  <a16:creationId xmlns:a16="http://schemas.microsoft.com/office/drawing/2014/main" id="{00000000-0008-0000-0C00-00001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144780</xdr:colOff>
          <xdr:row>25</xdr:row>
          <xdr:rowOff>0</xdr:rowOff>
        </xdr:from>
        <xdr:to>
          <xdr:col>17</xdr:col>
          <xdr:colOff>381000</xdr:colOff>
          <xdr:row>25</xdr:row>
          <xdr:rowOff>289560</xdr:rowOff>
        </xdr:to>
        <xdr:sp macro="" textlink="">
          <xdr:nvSpPr>
            <xdr:cNvPr id="18449" name="Check Box 17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00000000-0008-0000-0C00-00001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144780</xdr:colOff>
          <xdr:row>26</xdr:row>
          <xdr:rowOff>0</xdr:rowOff>
        </xdr:from>
        <xdr:to>
          <xdr:col>17</xdr:col>
          <xdr:colOff>381000</xdr:colOff>
          <xdr:row>26</xdr:row>
          <xdr:rowOff>289560</xdr:rowOff>
        </xdr:to>
        <xdr:sp macro="" textlink="">
          <xdr:nvSpPr>
            <xdr:cNvPr id="18450" name="Check Box 18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00000000-0008-0000-0C00-00001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144780</xdr:colOff>
          <xdr:row>15</xdr:row>
          <xdr:rowOff>0</xdr:rowOff>
        </xdr:from>
        <xdr:to>
          <xdr:col>26</xdr:col>
          <xdr:colOff>381000</xdr:colOff>
          <xdr:row>15</xdr:row>
          <xdr:rowOff>289560</xdr:rowOff>
        </xdr:to>
        <xdr:sp macro="" textlink="">
          <xdr:nvSpPr>
            <xdr:cNvPr id="18451" name="Check Box 19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0C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144780</xdr:colOff>
          <xdr:row>16</xdr:row>
          <xdr:rowOff>0</xdr:rowOff>
        </xdr:from>
        <xdr:to>
          <xdr:col>26</xdr:col>
          <xdr:colOff>381000</xdr:colOff>
          <xdr:row>16</xdr:row>
          <xdr:rowOff>289560</xdr:rowOff>
        </xdr:to>
        <xdr:sp macro="" textlink="">
          <xdr:nvSpPr>
            <xdr:cNvPr id="18452" name="Check Box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C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144780</xdr:colOff>
          <xdr:row>17</xdr:row>
          <xdr:rowOff>0</xdr:rowOff>
        </xdr:from>
        <xdr:to>
          <xdr:col>26</xdr:col>
          <xdr:colOff>381000</xdr:colOff>
          <xdr:row>17</xdr:row>
          <xdr:rowOff>289560</xdr:rowOff>
        </xdr:to>
        <xdr:sp macro="" textlink="">
          <xdr:nvSpPr>
            <xdr:cNvPr id="18453" name="Check Box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C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144780</xdr:colOff>
          <xdr:row>18</xdr:row>
          <xdr:rowOff>0</xdr:rowOff>
        </xdr:from>
        <xdr:to>
          <xdr:col>26</xdr:col>
          <xdr:colOff>381000</xdr:colOff>
          <xdr:row>18</xdr:row>
          <xdr:rowOff>289560</xdr:rowOff>
        </xdr:to>
        <xdr:sp macro="" textlink="">
          <xdr:nvSpPr>
            <xdr:cNvPr id="18454" name="Check Box 22" hidden="1">
              <a:extLst>
                <a:ext uri="{63B3BB69-23CF-44E3-9099-C40C66FF867C}">
                  <a14:compatExt spid="_x0000_s18454"/>
                </a:ext>
                <a:ext uri="{FF2B5EF4-FFF2-40B4-BE49-F238E27FC236}">
                  <a16:creationId xmlns:a16="http://schemas.microsoft.com/office/drawing/2014/main" id="{00000000-0008-0000-0C00-00001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144780</xdr:colOff>
          <xdr:row>19</xdr:row>
          <xdr:rowOff>0</xdr:rowOff>
        </xdr:from>
        <xdr:to>
          <xdr:col>26</xdr:col>
          <xdr:colOff>381000</xdr:colOff>
          <xdr:row>19</xdr:row>
          <xdr:rowOff>289560</xdr:rowOff>
        </xdr:to>
        <xdr:sp macro="" textlink="">
          <xdr:nvSpPr>
            <xdr:cNvPr id="18455" name="Check Box 23" hidden="1">
              <a:extLst>
                <a:ext uri="{63B3BB69-23CF-44E3-9099-C40C66FF867C}">
                  <a14:compatExt spid="_x0000_s18455"/>
                </a:ext>
                <a:ext uri="{FF2B5EF4-FFF2-40B4-BE49-F238E27FC236}">
                  <a16:creationId xmlns:a16="http://schemas.microsoft.com/office/drawing/2014/main" id="{00000000-0008-0000-0C00-00001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144780</xdr:colOff>
          <xdr:row>20</xdr:row>
          <xdr:rowOff>0</xdr:rowOff>
        </xdr:from>
        <xdr:to>
          <xdr:col>26</xdr:col>
          <xdr:colOff>381000</xdr:colOff>
          <xdr:row>20</xdr:row>
          <xdr:rowOff>289560</xdr:rowOff>
        </xdr:to>
        <xdr:sp macro="" textlink="">
          <xdr:nvSpPr>
            <xdr:cNvPr id="18456" name="Check Box 24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00000000-0008-0000-0C00-00001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144780</xdr:colOff>
          <xdr:row>21</xdr:row>
          <xdr:rowOff>0</xdr:rowOff>
        </xdr:from>
        <xdr:to>
          <xdr:col>26</xdr:col>
          <xdr:colOff>381000</xdr:colOff>
          <xdr:row>21</xdr:row>
          <xdr:rowOff>289560</xdr:rowOff>
        </xdr:to>
        <xdr:sp macro="" textlink="">
          <xdr:nvSpPr>
            <xdr:cNvPr id="18457" name="Check Box 25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0000000-0008-0000-0C00-00001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144780</xdr:colOff>
          <xdr:row>22</xdr:row>
          <xdr:rowOff>0</xdr:rowOff>
        </xdr:from>
        <xdr:to>
          <xdr:col>26</xdr:col>
          <xdr:colOff>381000</xdr:colOff>
          <xdr:row>22</xdr:row>
          <xdr:rowOff>289560</xdr:rowOff>
        </xdr:to>
        <xdr:sp macro="" textlink="">
          <xdr:nvSpPr>
            <xdr:cNvPr id="18458" name="Check Box 26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00000000-0008-0000-0C00-00001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144780</xdr:colOff>
          <xdr:row>23</xdr:row>
          <xdr:rowOff>0</xdr:rowOff>
        </xdr:from>
        <xdr:to>
          <xdr:col>26</xdr:col>
          <xdr:colOff>381000</xdr:colOff>
          <xdr:row>23</xdr:row>
          <xdr:rowOff>289560</xdr:rowOff>
        </xdr:to>
        <xdr:sp macro="" textlink="">
          <xdr:nvSpPr>
            <xdr:cNvPr id="18459" name="Check Box 27" hidden="1">
              <a:extLst>
                <a:ext uri="{63B3BB69-23CF-44E3-9099-C40C66FF867C}">
                  <a14:compatExt spid="_x0000_s18459"/>
                </a:ext>
                <a:ext uri="{FF2B5EF4-FFF2-40B4-BE49-F238E27FC236}">
                  <a16:creationId xmlns:a16="http://schemas.microsoft.com/office/drawing/2014/main" id="{00000000-0008-0000-0C00-00001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144780</xdr:colOff>
          <xdr:row>24</xdr:row>
          <xdr:rowOff>0</xdr:rowOff>
        </xdr:from>
        <xdr:to>
          <xdr:col>26</xdr:col>
          <xdr:colOff>381000</xdr:colOff>
          <xdr:row>24</xdr:row>
          <xdr:rowOff>289560</xdr:rowOff>
        </xdr:to>
        <xdr:sp macro="" textlink="">
          <xdr:nvSpPr>
            <xdr:cNvPr id="18460" name="Check Box 28" hidden="1">
              <a:extLst>
                <a:ext uri="{63B3BB69-23CF-44E3-9099-C40C66FF867C}">
                  <a14:compatExt spid="_x0000_s18460"/>
                </a:ext>
                <a:ext uri="{FF2B5EF4-FFF2-40B4-BE49-F238E27FC236}">
                  <a16:creationId xmlns:a16="http://schemas.microsoft.com/office/drawing/2014/main" id="{00000000-0008-0000-0C00-00001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144780</xdr:colOff>
          <xdr:row>25</xdr:row>
          <xdr:rowOff>0</xdr:rowOff>
        </xdr:from>
        <xdr:to>
          <xdr:col>26</xdr:col>
          <xdr:colOff>381000</xdr:colOff>
          <xdr:row>25</xdr:row>
          <xdr:rowOff>289560</xdr:rowOff>
        </xdr:to>
        <xdr:sp macro="" textlink="">
          <xdr:nvSpPr>
            <xdr:cNvPr id="18461" name="Check Box 29" hidden="1">
              <a:extLst>
                <a:ext uri="{63B3BB69-23CF-44E3-9099-C40C66FF867C}">
                  <a14:compatExt spid="_x0000_s18461"/>
                </a:ext>
                <a:ext uri="{FF2B5EF4-FFF2-40B4-BE49-F238E27FC236}">
                  <a16:creationId xmlns:a16="http://schemas.microsoft.com/office/drawing/2014/main" id="{00000000-0008-0000-0C00-00001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144780</xdr:colOff>
          <xdr:row>26</xdr:row>
          <xdr:rowOff>0</xdr:rowOff>
        </xdr:from>
        <xdr:to>
          <xdr:col>26</xdr:col>
          <xdr:colOff>381000</xdr:colOff>
          <xdr:row>26</xdr:row>
          <xdr:rowOff>289560</xdr:rowOff>
        </xdr:to>
        <xdr:sp macro="" textlink="">
          <xdr:nvSpPr>
            <xdr:cNvPr id="18462" name="Check Box 30" hidden="1">
              <a:extLst>
                <a:ext uri="{63B3BB69-23CF-44E3-9099-C40C66FF867C}">
                  <a14:compatExt spid="_x0000_s18462"/>
                </a:ext>
                <a:ext uri="{FF2B5EF4-FFF2-40B4-BE49-F238E27FC236}">
                  <a16:creationId xmlns:a16="http://schemas.microsoft.com/office/drawing/2014/main" id="{00000000-0008-0000-0C00-00001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238126</xdr:colOff>
      <xdr:row>0</xdr:row>
      <xdr:rowOff>57150</xdr:rowOff>
    </xdr:from>
    <xdr:to>
      <xdr:col>15</xdr:col>
      <xdr:colOff>552451</xdr:colOff>
      <xdr:row>1</xdr:row>
      <xdr:rowOff>85725</xdr:rowOff>
    </xdr:to>
    <xdr:sp macro="[0]!AddWorksheetPage" textlink="">
      <xdr:nvSpPr>
        <xdr:cNvPr id="2" name="Rounded Rectangle 1" descr="AddNodePage" title="AddNodePag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8172451" y="57150"/>
          <a:ext cx="876300" cy="2667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Add Page</a:t>
          </a:r>
        </a:p>
      </xdr:txBody>
    </xdr:sp>
    <xdr:clientData fPrintsWithSheet="0"/>
  </xdr:twoCellAnchor>
  <xdr:twoCellAnchor>
    <xdr:from>
      <xdr:col>16</xdr:col>
      <xdr:colOff>47625</xdr:colOff>
      <xdr:row>0</xdr:row>
      <xdr:rowOff>57150</xdr:rowOff>
    </xdr:from>
    <xdr:to>
      <xdr:col>17</xdr:col>
      <xdr:colOff>352425</xdr:colOff>
      <xdr:row>1</xdr:row>
      <xdr:rowOff>85725</xdr:rowOff>
    </xdr:to>
    <xdr:sp macro="[0]!AddWorksheetNode" textlink="">
      <xdr:nvSpPr>
        <xdr:cNvPr id="5" name="Rounded Rectangle 4" descr="AddNode" title="AddNode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9105900" y="57150"/>
          <a:ext cx="866775" cy="2667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Add Node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19050</xdr:colOff>
      <xdr:row>0</xdr:row>
      <xdr:rowOff>145015</xdr:rowOff>
    </xdr:from>
    <xdr:ext cx="1098801" cy="264560"/>
    <xdr:sp macro="[0]!lblOnline_Click" textlink="">
      <xdr:nvSpPr>
        <xdr:cNvPr id="6" name="TextBox 5" descr="OnlineStatus" title="OnlineStatus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 txBox="1"/>
      </xdr:nvSpPr>
      <xdr:spPr>
        <a:xfrm>
          <a:off x="8201025" y="145015"/>
          <a:ext cx="1098801" cy="264560"/>
        </a:xfrm>
        <a:prstGeom prst="rect">
          <a:avLst/>
        </a:prstGeom>
        <a:ln w="12700" cap="rnd">
          <a:noFill/>
        </a:ln>
      </xdr:spPr>
      <xdr:style>
        <a:lnRef idx="0">
          <a:scrgbClr r="0" g="0" b="0"/>
        </a:lnRef>
        <a:fillRef idx="1001">
          <a:schemeClr val="lt1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r"/>
          <a:endParaRPr lang="en-US" sz="11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 fPrintsWithSheet="0"/>
  </xdr:oneCellAnchor>
  <xdr:twoCellAnchor>
    <xdr:from>
      <xdr:col>10</xdr:col>
      <xdr:colOff>28575</xdr:colOff>
      <xdr:row>4</xdr:row>
      <xdr:rowOff>104775</xdr:rowOff>
    </xdr:from>
    <xdr:to>
      <xdr:col>10</xdr:col>
      <xdr:colOff>752475</xdr:colOff>
      <xdr:row>5</xdr:row>
      <xdr:rowOff>171449</xdr:rowOff>
    </xdr:to>
    <xdr:sp macro="[0]!cmdActionUpload" textlink="">
      <xdr:nvSpPr>
        <xdr:cNvPr id="7" name="Rounded Rectangle 6" descr="Upload" hidden="1" title="Upload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6791325" y="1019175"/>
          <a:ext cx="723900" cy="29527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Upload</a:t>
          </a:r>
        </a:p>
      </xdr:txBody>
    </xdr:sp>
    <xdr:clientData fPrintsWithSheet="0"/>
  </xdr:twoCellAnchor>
  <xdr:twoCellAnchor>
    <xdr:from>
      <xdr:col>10</xdr:col>
      <xdr:colOff>819150</xdr:colOff>
      <xdr:row>4</xdr:row>
      <xdr:rowOff>104775</xdr:rowOff>
    </xdr:from>
    <xdr:to>
      <xdr:col>12</xdr:col>
      <xdr:colOff>180975</xdr:colOff>
      <xdr:row>5</xdr:row>
      <xdr:rowOff>171449</xdr:rowOff>
    </xdr:to>
    <xdr:sp macro="[0]!cmdActionDownload" textlink="">
      <xdr:nvSpPr>
        <xdr:cNvPr id="8" name="Rounded Rectangle 7" descr="Download" hidden="1" title="Download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7181850" y="1019175"/>
          <a:ext cx="952500" cy="29527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Download</a:t>
          </a:r>
        </a:p>
      </xdr:txBody>
    </xdr:sp>
    <xdr:clientData fPrintsWithSheet="0"/>
  </xdr:twoCellAnchor>
  <xdr:twoCellAnchor>
    <xdr:from>
      <xdr:col>12</xdr:col>
      <xdr:colOff>238125</xdr:colOff>
      <xdr:row>4</xdr:row>
      <xdr:rowOff>114300</xdr:rowOff>
    </xdr:from>
    <xdr:to>
      <xdr:col>13</xdr:col>
      <xdr:colOff>723900</xdr:colOff>
      <xdr:row>5</xdr:row>
      <xdr:rowOff>180974</xdr:rowOff>
    </xdr:to>
    <xdr:sp macro="[0]!AddActionPage" textlink="">
      <xdr:nvSpPr>
        <xdr:cNvPr id="9" name="Rounded Rectangle 8" descr="AddActionPage" title="AddActionPage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8753475" y="1028700"/>
          <a:ext cx="914400" cy="29527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Add</a:t>
          </a:r>
          <a:r>
            <a:rPr lang="en-US" sz="1100" baseline="0"/>
            <a:t> page</a:t>
          </a:r>
          <a:endParaRPr lang="en-US" sz="1100"/>
        </a:p>
      </xdr:txBody>
    </xdr:sp>
    <xdr:clientData fPrintsWithSheet="0"/>
  </xdr:twoCellAnchor>
  <xdr:twoCellAnchor>
    <xdr:from>
      <xdr:col>2</xdr:col>
      <xdr:colOff>0</xdr:colOff>
      <xdr:row>0</xdr:row>
      <xdr:rowOff>38100</xdr:rowOff>
    </xdr:from>
    <xdr:to>
      <xdr:col>3</xdr:col>
      <xdr:colOff>657225</xdr:colOff>
      <xdr:row>0</xdr:row>
      <xdr:rowOff>219075</xdr:rowOff>
    </xdr:to>
    <xdr:sp macro="" textlink="">
      <xdr:nvSpPr>
        <xdr:cNvPr id="10" name="Rounded Rectangle 9" descr="ViewOnBrowser" title="ViewOnBrowser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1181100" y="38100"/>
          <a:ext cx="1571625" cy="18097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View on browser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50" Type="http://schemas.openxmlformats.org/officeDocument/2006/relationships/ctrlProp" Target="../ctrlProps/ctrlProp48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3" Type="http://schemas.openxmlformats.org/officeDocument/2006/relationships/comments" Target="../comments1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26" Type="http://schemas.openxmlformats.org/officeDocument/2006/relationships/ctrlProp" Target="../ctrlProps/ctrlProp74.xml"/><Relationship Id="rId3" Type="http://schemas.openxmlformats.org/officeDocument/2006/relationships/ctrlProp" Target="../ctrlProps/ctrlProp51.xml"/><Relationship Id="rId21" Type="http://schemas.openxmlformats.org/officeDocument/2006/relationships/ctrlProp" Target="../ctrlProps/ctrlProp69.x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5" Type="http://schemas.openxmlformats.org/officeDocument/2006/relationships/ctrlProp" Target="../ctrlProps/ctrlProp73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24" Type="http://schemas.openxmlformats.org/officeDocument/2006/relationships/ctrlProp" Target="../ctrlProps/ctrlProp72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23" Type="http://schemas.openxmlformats.org/officeDocument/2006/relationships/ctrlProp" Target="../ctrlProps/ctrlProp71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Relationship Id="rId22" Type="http://schemas.openxmlformats.org/officeDocument/2006/relationships/ctrlProp" Target="../ctrlProps/ctrlProp70.xml"/><Relationship Id="rId27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46"/>
  <sheetViews>
    <sheetView workbookViewId="0">
      <selection activeCell="M21" sqref="M21"/>
    </sheetView>
  </sheetViews>
  <sheetFormatPr defaultRowHeight="14.4"/>
  <cols>
    <col min="1" max="1" width="18.33203125" customWidth="1"/>
    <col min="2" max="2" width="25.109375" customWidth="1"/>
    <col min="3" max="5" width="9.109375" customWidth="1"/>
    <col min="6" max="6" width="13.6640625" customWidth="1"/>
    <col min="7" max="7" width="13.33203125" customWidth="1"/>
    <col min="8" max="8" width="9.109375" customWidth="1"/>
    <col min="9" max="9" width="12" customWidth="1"/>
    <col min="10" max="10" width="11.33203125" customWidth="1"/>
    <col min="11" max="11" width="11" customWidth="1"/>
    <col min="12" max="12" width="19.6640625" customWidth="1"/>
    <col min="13" max="13" width="16.88671875" customWidth="1"/>
    <col min="14" max="15" width="9.109375" customWidth="1"/>
    <col min="16" max="16" width="25.5546875" customWidth="1"/>
    <col min="17" max="17" width="12" customWidth="1"/>
    <col min="18" max="19" width="9.109375" customWidth="1"/>
    <col min="20" max="20" width="13" customWidth="1"/>
    <col min="21" max="21" width="10.44140625" customWidth="1"/>
    <col min="22" max="22" width="9.109375" customWidth="1"/>
    <col min="23" max="23" width="14" customWidth="1"/>
    <col min="24" max="24" width="12" customWidth="1"/>
    <col min="25" max="25" width="18.6640625" customWidth="1"/>
    <col min="26" max="26" width="22.6640625" customWidth="1"/>
    <col min="27" max="27" width="15.33203125" customWidth="1"/>
  </cols>
  <sheetData>
    <row r="2" spans="1:2">
      <c r="A2" t="s">
        <v>284</v>
      </c>
    </row>
    <row r="3" spans="1:2">
      <c r="A3" t="s">
        <v>285</v>
      </c>
    </row>
    <row r="4" spans="1:2">
      <c r="A4" t="s">
        <v>286</v>
      </c>
    </row>
    <row r="5" spans="1:2">
      <c r="A5" t="s">
        <v>287</v>
      </c>
    </row>
    <row r="6" spans="1:2">
      <c r="A6" t="s">
        <v>288</v>
      </c>
    </row>
    <row r="7" spans="1:2">
      <c r="A7" t="s">
        <v>289</v>
      </c>
    </row>
    <row r="8" spans="1:2">
      <c r="A8" t="s">
        <v>290</v>
      </c>
    </row>
    <row r="9" spans="1:2">
      <c r="A9" t="s">
        <v>291</v>
      </c>
      <c r="B9" s="1"/>
    </row>
    <row r="10" spans="1:2">
      <c r="A10" t="s">
        <v>292</v>
      </c>
      <c r="B10" s="1"/>
    </row>
    <row r="11" spans="1:2">
      <c r="A11" t="s">
        <v>293</v>
      </c>
      <c r="B11" s="1"/>
    </row>
    <row r="12" spans="1:2">
      <c r="A12" t="s">
        <v>294</v>
      </c>
      <c r="B12" s="1"/>
    </row>
    <row r="13" spans="1:2">
      <c r="A13" t="s">
        <v>295</v>
      </c>
      <c r="B13" s="1"/>
    </row>
    <row r="14" spans="1:2">
      <c r="A14" t="s">
        <v>296</v>
      </c>
      <c r="B14" s="1"/>
    </row>
    <row r="15" spans="1:2">
      <c r="A15" t="s">
        <v>297</v>
      </c>
      <c r="B15" s="1"/>
    </row>
    <row r="16" spans="1:2">
      <c r="A16" t="s">
        <v>298</v>
      </c>
      <c r="B16" s="1"/>
    </row>
    <row r="17" spans="1:2">
      <c r="A17" t="s">
        <v>299</v>
      </c>
      <c r="B17" s="1"/>
    </row>
    <row r="18" spans="1:2">
      <c r="A18" t="s">
        <v>300</v>
      </c>
      <c r="B18" s="1"/>
    </row>
    <row r="19" spans="1:2">
      <c r="A19" t="s">
        <v>301</v>
      </c>
      <c r="B19" s="1"/>
    </row>
    <row r="20" spans="1:2">
      <c r="A20" t="s">
        <v>113</v>
      </c>
    </row>
    <row r="21" spans="1:2">
      <c r="A21" t="s">
        <v>302</v>
      </c>
      <c r="B21" s="1" t="s">
        <v>303</v>
      </c>
    </row>
    <row r="22" spans="1:2">
      <c r="A22" t="s">
        <v>304</v>
      </c>
      <c r="B22" s="1"/>
    </row>
    <row r="23" spans="1:2">
      <c r="A23" t="s">
        <v>305</v>
      </c>
      <c r="B23" s="1"/>
    </row>
    <row r="24" spans="1:2">
      <c r="A24" t="s">
        <v>306</v>
      </c>
      <c r="B24" s="1"/>
    </row>
    <row r="25" spans="1:2">
      <c r="A25" t="s">
        <v>307</v>
      </c>
      <c r="B25" s="1"/>
    </row>
    <row r="26" spans="1:2">
      <c r="A26" t="s">
        <v>308</v>
      </c>
      <c r="B26" s="1"/>
    </row>
    <row r="27" spans="1:2">
      <c r="A27" t="s">
        <v>309</v>
      </c>
      <c r="B27" s="1"/>
    </row>
    <row r="28" spans="1:2">
      <c r="A28" t="s">
        <v>310</v>
      </c>
      <c r="B28" s="1"/>
    </row>
    <row r="29" spans="1:2">
      <c r="A29" t="s">
        <v>311</v>
      </c>
      <c r="B29" s="1"/>
    </row>
    <row r="30" spans="1:2">
      <c r="A30" t="s">
        <v>112</v>
      </c>
      <c r="B30" s="1"/>
    </row>
    <row r="31" spans="1:2">
      <c r="A31" t="s">
        <v>312</v>
      </c>
      <c r="B31" s="1"/>
    </row>
    <row r="32" spans="1:2">
      <c r="A32" t="s">
        <v>313</v>
      </c>
      <c r="B32" s="1"/>
    </row>
    <row r="33" spans="1:2">
      <c r="A33" t="s">
        <v>314</v>
      </c>
      <c r="B33" s="1"/>
    </row>
    <row r="34" spans="1:2">
      <c r="A34" t="s">
        <v>315</v>
      </c>
      <c r="B34" s="1"/>
    </row>
    <row r="35" spans="1:2">
      <c r="A35" t="s">
        <v>316</v>
      </c>
      <c r="B35" s="1"/>
    </row>
    <row r="36" spans="1:2">
      <c r="A36" t="s">
        <v>317</v>
      </c>
    </row>
    <row r="37" spans="1:2">
      <c r="A37" t="s">
        <v>318</v>
      </c>
    </row>
    <row r="40" spans="1:2">
      <c r="A40" t="s">
        <v>319</v>
      </c>
      <c r="B40" s="2" t="s">
        <v>320</v>
      </c>
    </row>
    <row r="41" spans="1:2">
      <c r="A41" t="s">
        <v>321</v>
      </c>
      <c r="B41" t="s">
        <v>322</v>
      </c>
    </row>
    <row r="42" spans="1:2">
      <c r="A42" t="s">
        <v>323</v>
      </c>
      <c r="B42" t="str">
        <f>"http://" &amp; HostName &amp; "/sites/EHAZOP"</f>
        <v>http://spapps/sites/EHAZOP</v>
      </c>
    </row>
    <row r="43" spans="1:2">
      <c r="A43" t="s">
        <v>324</v>
      </c>
      <c r="B43" t="s">
        <v>325</v>
      </c>
    </row>
    <row r="44" spans="1:2">
      <c r="A44" t="s">
        <v>326</v>
      </c>
      <c r="B44" t="str">
        <f>SiteCollection &amp; "/SitePages/EHZ.html#/Edit/"</f>
        <v>http://spapps/sites/EHAZOP/SitePages/EHZ.html#/Edit/</v>
      </c>
    </row>
    <row r="46" spans="1:2">
      <c r="A46" t="s">
        <v>327</v>
      </c>
      <c r="B46">
        <v>1</v>
      </c>
    </row>
  </sheetData>
  <sheetProtection algorithmName="SHA-512" hashValue="gE313fgH4lQiIq7gwV6g9vemIYgO4HzzSZq32rc6eYr6dCCD+2avbLumnXpB1w4YhnLkKD5AzBm+6i8D5Fe0FQ==" saltValue="HLf8v0trSEa4c73IZra51Q==" spinCount="100000" sheet="1" objects="1" scenarios="1"/>
  <hyperlinks>
    <hyperlink ref="B40" r:id="rId1" xr:uid="{00000000-0004-0000-0000-000000000000}"/>
  </hyperlink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Y21"/>
  <sheetViews>
    <sheetView topLeftCell="B1" workbookViewId="0">
      <selection activeCell="H2" sqref="H2"/>
    </sheetView>
  </sheetViews>
  <sheetFormatPr defaultRowHeight="14.4"/>
  <cols>
    <col min="1" max="7" width="9.109375" customWidth="1"/>
    <col min="8" max="8" width="11.109375" customWidth="1"/>
    <col min="9" max="11" width="9.109375" customWidth="1"/>
    <col min="12" max="12" width="21.6640625" customWidth="1"/>
  </cols>
  <sheetData>
    <row r="1" spans="1:25">
      <c r="B1" s="3"/>
      <c r="C1" s="3"/>
      <c r="D1" s="3">
        <v>3</v>
      </c>
      <c r="E1" s="3">
        <v>4</v>
      </c>
      <c r="F1" s="3">
        <v>5</v>
      </c>
      <c r="H1" t="s">
        <v>328</v>
      </c>
      <c r="K1" s="4" t="s">
        <v>10</v>
      </c>
      <c r="L1" s="4" t="s">
        <v>11</v>
      </c>
      <c r="O1" s="5" t="s">
        <v>10</v>
      </c>
      <c r="P1" s="5" t="s">
        <v>137</v>
      </c>
      <c r="Q1" s="5" t="s">
        <v>164</v>
      </c>
      <c r="R1" s="5" t="s">
        <v>167</v>
      </c>
      <c r="S1" s="5" t="s">
        <v>173</v>
      </c>
      <c r="T1" s="5" t="s">
        <v>176</v>
      </c>
      <c r="U1" s="5" t="s">
        <v>182</v>
      </c>
      <c r="V1" s="5" t="s">
        <v>329</v>
      </c>
      <c r="Y1" s="151" t="s">
        <v>330</v>
      </c>
    </row>
    <row r="2" spans="1:25">
      <c r="A2">
        <v>1</v>
      </c>
      <c r="B2" s="3" t="s">
        <v>331</v>
      </c>
      <c r="C2" s="3" t="s">
        <v>331</v>
      </c>
      <c r="D2" s="3" t="s">
        <v>15</v>
      </c>
      <c r="E2" s="3" t="s">
        <v>15</v>
      </c>
      <c r="F2" s="3" t="s">
        <v>15</v>
      </c>
      <c r="H2" t="s">
        <v>332</v>
      </c>
      <c r="K2" t="s">
        <v>137</v>
      </c>
      <c r="L2" t="s">
        <v>138</v>
      </c>
      <c r="O2" s="6" t="s">
        <v>137</v>
      </c>
      <c r="P2" s="6" t="s">
        <v>138</v>
      </c>
      <c r="Q2" s="6" t="s">
        <v>165</v>
      </c>
      <c r="R2" s="6" t="s">
        <v>168</v>
      </c>
      <c r="S2" s="6" t="s">
        <v>174</v>
      </c>
      <c r="T2" s="6" t="s">
        <v>177</v>
      </c>
      <c r="U2" s="6" t="s">
        <v>183</v>
      </c>
      <c r="V2" s="6" t="s">
        <v>283</v>
      </c>
      <c r="Y2">
        <v>2</v>
      </c>
    </row>
    <row r="3" spans="1:25">
      <c r="A3">
        <v>2</v>
      </c>
      <c r="B3" s="3" t="s">
        <v>331</v>
      </c>
      <c r="C3" s="3" t="s">
        <v>15</v>
      </c>
      <c r="D3" s="3" t="s">
        <v>15</v>
      </c>
      <c r="E3" s="3" t="s">
        <v>109</v>
      </c>
      <c r="F3" s="3" t="s">
        <v>109</v>
      </c>
      <c r="H3" t="s">
        <v>304</v>
      </c>
      <c r="K3" t="s">
        <v>164</v>
      </c>
      <c r="L3" t="s">
        <v>165</v>
      </c>
      <c r="O3" s="6" t="s">
        <v>164</v>
      </c>
      <c r="P3" s="6"/>
      <c r="Q3" s="6"/>
      <c r="R3" s="6"/>
      <c r="S3" s="6"/>
      <c r="T3" s="6" t="s">
        <v>333</v>
      </c>
      <c r="U3" s="6" t="s">
        <v>334</v>
      </c>
      <c r="V3" s="6" t="s">
        <v>77</v>
      </c>
      <c r="Y3">
        <v>3</v>
      </c>
    </row>
    <row r="4" spans="1:25">
      <c r="A4">
        <v>3</v>
      </c>
      <c r="B4" s="3" t="s">
        <v>15</v>
      </c>
      <c r="C4" s="3" t="s">
        <v>15</v>
      </c>
      <c r="D4" s="3" t="s">
        <v>109</v>
      </c>
      <c r="E4" s="3" t="s">
        <v>110</v>
      </c>
      <c r="F4" s="3" t="s">
        <v>110</v>
      </c>
      <c r="H4" t="s">
        <v>308</v>
      </c>
      <c r="K4" t="s">
        <v>167</v>
      </c>
      <c r="L4" t="s">
        <v>168</v>
      </c>
      <c r="O4" s="6" t="s">
        <v>167</v>
      </c>
      <c r="P4" s="6"/>
      <c r="Q4" s="6"/>
      <c r="R4" s="6"/>
      <c r="S4" s="6"/>
      <c r="T4" s="6" t="s">
        <v>335</v>
      </c>
      <c r="U4" s="6" t="s">
        <v>336</v>
      </c>
      <c r="V4" s="6" t="s">
        <v>337</v>
      </c>
      <c r="Y4">
        <v>4</v>
      </c>
    </row>
    <row r="5" spans="1:25">
      <c r="A5">
        <v>4</v>
      </c>
      <c r="B5" s="3" t="s">
        <v>15</v>
      </c>
      <c r="C5" s="3" t="s">
        <v>109</v>
      </c>
      <c r="D5" s="3" t="s">
        <v>110</v>
      </c>
      <c r="E5" s="3" t="s">
        <v>110</v>
      </c>
      <c r="F5" s="3" t="s">
        <v>338</v>
      </c>
      <c r="K5" t="s">
        <v>173</v>
      </c>
      <c r="L5" t="s">
        <v>174</v>
      </c>
      <c r="O5" s="6" t="s">
        <v>173</v>
      </c>
      <c r="P5" s="6"/>
      <c r="Q5" s="6"/>
      <c r="R5" s="6"/>
      <c r="S5" s="6"/>
      <c r="T5" s="6"/>
      <c r="U5" s="6"/>
      <c r="V5" s="6" t="s">
        <v>339</v>
      </c>
    </row>
    <row r="6" spans="1:25">
      <c r="A6">
        <v>5</v>
      </c>
      <c r="B6" s="3" t="s">
        <v>15</v>
      </c>
      <c r="C6" s="3" t="s">
        <v>109</v>
      </c>
      <c r="D6" s="3" t="s">
        <v>110</v>
      </c>
      <c r="E6" s="3" t="s">
        <v>338</v>
      </c>
      <c r="F6" s="3" t="s">
        <v>338</v>
      </c>
      <c r="K6" t="s">
        <v>176</v>
      </c>
      <c r="L6" t="s">
        <v>177</v>
      </c>
      <c r="O6" s="6" t="s">
        <v>176</v>
      </c>
      <c r="P6" s="6"/>
      <c r="Q6" s="6"/>
      <c r="R6" s="6"/>
      <c r="S6" s="6"/>
      <c r="T6" s="6"/>
      <c r="U6" s="6"/>
      <c r="V6" s="6" t="s">
        <v>58</v>
      </c>
    </row>
    <row r="7" spans="1:25">
      <c r="K7" t="s">
        <v>182</v>
      </c>
      <c r="L7" t="s">
        <v>183</v>
      </c>
      <c r="O7" s="6" t="s">
        <v>182</v>
      </c>
      <c r="P7" s="6"/>
      <c r="Q7" s="6"/>
      <c r="R7" s="6"/>
      <c r="S7" s="6"/>
      <c r="T7" s="6"/>
      <c r="U7" s="6"/>
      <c r="V7" s="6" t="s">
        <v>57</v>
      </c>
    </row>
    <row r="8" spans="1:25">
      <c r="L8" t="s">
        <v>333</v>
      </c>
      <c r="O8" s="6" t="s">
        <v>329</v>
      </c>
      <c r="P8" s="6"/>
      <c r="Q8" s="6"/>
      <c r="R8" s="6"/>
      <c r="S8" s="6"/>
      <c r="T8" s="6"/>
      <c r="U8" s="6"/>
      <c r="V8" s="6" t="s">
        <v>340</v>
      </c>
    </row>
    <row r="9" spans="1:25">
      <c r="L9" t="s">
        <v>334</v>
      </c>
      <c r="O9" s="6"/>
      <c r="P9" s="6"/>
      <c r="Q9" s="6"/>
      <c r="R9" s="6"/>
      <c r="S9" s="6"/>
      <c r="T9" s="6"/>
      <c r="U9" s="6"/>
      <c r="V9" s="6" t="s">
        <v>341</v>
      </c>
    </row>
    <row r="10" spans="1:25">
      <c r="L10" t="s">
        <v>335</v>
      </c>
      <c r="O10" s="6"/>
      <c r="P10" s="6"/>
      <c r="Q10" s="6"/>
      <c r="R10" s="6"/>
      <c r="S10" s="6"/>
      <c r="T10" s="6"/>
      <c r="U10" s="6"/>
      <c r="V10" s="6" t="s">
        <v>342</v>
      </c>
    </row>
    <row r="11" spans="1:25">
      <c r="L11" t="s">
        <v>336</v>
      </c>
      <c r="O11" s="6"/>
      <c r="P11" s="6"/>
      <c r="Q11" s="6"/>
      <c r="R11" s="6"/>
      <c r="S11" s="6"/>
      <c r="T11" s="6"/>
      <c r="U11" s="6"/>
      <c r="V11" s="6" t="s">
        <v>343</v>
      </c>
    </row>
    <row r="12" spans="1:25">
      <c r="L12" s="7" t="s">
        <v>283</v>
      </c>
    </row>
    <row r="13" spans="1:25">
      <c r="L13" t="s">
        <v>77</v>
      </c>
    </row>
    <row r="14" spans="1:25">
      <c r="L14" t="s">
        <v>337</v>
      </c>
    </row>
    <row r="15" spans="1:25">
      <c r="E15" s="152"/>
      <c r="F15" s="152"/>
      <c r="L15" t="s">
        <v>339</v>
      </c>
    </row>
    <row r="16" spans="1:25">
      <c r="L16" t="s">
        <v>58</v>
      </c>
    </row>
    <row r="17" spans="12:12">
      <c r="L17" t="s">
        <v>57</v>
      </c>
    </row>
    <row r="18" spans="12:12">
      <c r="L18" s="7" t="s">
        <v>340</v>
      </c>
    </row>
    <row r="19" spans="12:12">
      <c r="L19" t="s">
        <v>341</v>
      </c>
    </row>
    <row r="20" spans="12:12">
      <c r="L20" t="s">
        <v>342</v>
      </c>
    </row>
    <row r="21" spans="12:12">
      <c r="L21" t="s">
        <v>343</v>
      </c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797D-130F-4A1C-BD08-67D69FC43CD8}">
  <sheetPr codeName="Sheet17">
    <pageSetUpPr fitToPage="1"/>
  </sheetPr>
  <dimension ref="A1:AN40"/>
  <sheetViews>
    <sheetView showGridLines="0" zoomScaleNormal="100" workbookViewId="0"/>
  </sheetViews>
  <sheetFormatPr defaultColWidth="11.33203125" defaultRowHeight="14.4"/>
  <cols>
    <col min="1" max="1" width="7.88671875" customWidth="1"/>
    <col min="2" max="2" width="12.6640625" customWidth="1"/>
    <col min="3" max="8" width="7.88671875" customWidth="1"/>
    <col min="9" max="15" width="5.6640625" customWidth="1"/>
    <col min="16" max="17" width="8.33203125" customWidth="1"/>
    <col min="18" max="18" width="7.88671875" hidden="1" customWidth="1"/>
    <col min="19" max="24" width="5.6640625" customWidth="1"/>
    <col min="25" max="26" width="8.33203125" customWidth="1"/>
    <col min="27" max="27" width="7.88671875" hidden="1" customWidth="1"/>
    <col min="28" max="33" width="5.6640625" hidden="1" customWidth="1"/>
    <col min="34" max="117" width="9.88671875" customWidth="1"/>
  </cols>
  <sheetData>
    <row r="1" spans="1:40" ht="19.350000000000001" customHeight="1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J1" s="3"/>
      <c r="AK1" s="3"/>
      <c r="AL1" s="3"/>
      <c r="AM1" s="3"/>
      <c r="AN1" s="3"/>
    </row>
    <row r="2" spans="1:40" ht="19.350000000000001" customHeight="1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J2" s="3"/>
      <c r="AK2" s="3"/>
      <c r="AL2" s="3"/>
      <c r="AM2" s="3"/>
      <c r="AN2" s="3"/>
    </row>
    <row r="3" spans="1:40" ht="19.350000000000001" customHeight="1">
      <c r="A3" s="8"/>
      <c r="B3" s="9" t="s">
        <v>0</v>
      </c>
      <c r="C3" s="191"/>
      <c r="D3" s="191"/>
      <c r="E3" s="191"/>
      <c r="F3" s="8"/>
      <c r="G3" s="9" t="s">
        <v>1</v>
      </c>
      <c r="H3" s="191"/>
      <c r="I3" s="191"/>
      <c r="J3" s="191"/>
      <c r="K3" s="191"/>
      <c r="L3" s="137"/>
      <c r="M3" s="192" t="s">
        <v>2</v>
      </c>
      <c r="N3" s="192"/>
      <c r="O3" s="191"/>
      <c r="P3" s="191"/>
      <c r="Q3" s="191"/>
      <c r="R3" s="191"/>
      <c r="S3" s="192" t="s">
        <v>3</v>
      </c>
      <c r="T3" s="192"/>
      <c r="U3" s="192"/>
      <c r="V3" s="195"/>
      <c r="W3" s="195"/>
      <c r="X3" s="195"/>
      <c r="Y3" s="195"/>
      <c r="Z3" s="3"/>
      <c r="AA3" s="3"/>
      <c r="AB3" s="3"/>
      <c r="AC3" s="3"/>
    </row>
    <row r="4" spans="1:40" ht="19.350000000000001" customHeight="1">
      <c r="A4" s="8"/>
      <c r="B4" s="9" t="s">
        <v>115</v>
      </c>
      <c r="C4" s="196"/>
      <c r="D4" s="196"/>
      <c r="E4" s="196"/>
      <c r="F4" s="13"/>
      <c r="G4" s="13"/>
      <c r="H4" s="5"/>
      <c r="I4" s="14"/>
      <c r="J4" s="14"/>
      <c r="K4" s="14"/>
      <c r="L4" s="14"/>
      <c r="M4" s="14"/>
      <c r="N4" s="14"/>
      <c r="O4" s="14"/>
      <c r="P4" s="14"/>
      <c r="Q4" s="5"/>
      <c r="R4" s="5"/>
      <c r="S4" s="14"/>
      <c r="T4" s="14"/>
      <c r="U4" s="14"/>
      <c r="V4" s="14"/>
      <c r="W4" s="14"/>
      <c r="X4" s="14"/>
      <c r="Y4" s="14"/>
      <c r="Z4" s="5"/>
      <c r="AA4" s="5"/>
      <c r="AB4" s="14"/>
      <c r="AC4" s="14"/>
      <c r="AD4" s="14"/>
      <c r="AE4" s="14"/>
      <c r="AF4" s="14"/>
      <c r="AG4" s="14"/>
      <c r="AJ4" s="3"/>
      <c r="AK4" s="3"/>
      <c r="AL4" s="3"/>
      <c r="AM4" s="3"/>
      <c r="AN4" s="3"/>
    </row>
    <row r="5" spans="1:40" ht="19.350000000000001" customHeight="1">
      <c r="A5" s="8"/>
      <c r="B5" s="9" t="s">
        <v>116</v>
      </c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72"/>
      <c r="S5" s="172"/>
      <c r="T5" s="172"/>
      <c r="U5" s="172"/>
      <c r="V5" s="172"/>
      <c r="W5" s="172"/>
      <c r="X5" s="172"/>
      <c r="Y5" s="172"/>
      <c r="Z5" s="67"/>
      <c r="AA5" s="67"/>
      <c r="AB5" s="67"/>
      <c r="AC5" s="67"/>
      <c r="AD5" s="67"/>
      <c r="AE5" s="67"/>
      <c r="AF5" s="67"/>
      <c r="AG5" s="67"/>
      <c r="AJ5" s="3"/>
      <c r="AK5" s="3"/>
      <c r="AL5" s="3"/>
      <c r="AM5" s="3"/>
      <c r="AN5" s="3"/>
    </row>
    <row r="6" spans="1:40" ht="19.350000000000001" customHeight="1">
      <c r="A6" s="8"/>
      <c r="B6" s="9" t="s">
        <v>117</v>
      </c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72"/>
      <c r="Y6" s="172"/>
      <c r="Z6" s="6"/>
      <c r="AA6" s="6"/>
      <c r="AB6" s="6"/>
      <c r="AC6" s="6"/>
      <c r="AD6" s="6"/>
      <c r="AE6" s="6"/>
      <c r="AF6" s="6"/>
      <c r="AG6" s="6"/>
      <c r="AJ6" s="3"/>
      <c r="AK6" s="3"/>
      <c r="AL6" s="3"/>
      <c r="AM6" s="3"/>
      <c r="AN6" s="3"/>
    </row>
    <row r="7" spans="1:40" ht="19.350000000000001" customHeight="1">
      <c r="A7" s="8"/>
      <c r="B7" s="9" t="s">
        <v>118</v>
      </c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67"/>
      <c r="AA7" s="67"/>
      <c r="AB7" s="67"/>
      <c r="AC7" s="67"/>
      <c r="AD7" s="67"/>
      <c r="AE7" s="67"/>
      <c r="AF7" s="67"/>
      <c r="AG7" s="67"/>
    </row>
    <row r="8" spans="1:40" ht="19.350000000000001" customHeight="1">
      <c r="A8" s="8"/>
      <c r="B8" s="15"/>
      <c r="C8" s="6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</row>
    <row r="9" spans="1:40" ht="19.350000000000001" customHeight="1">
      <c r="A9" s="8"/>
      <c r="B9" s="16" t="s">
        <v>9</v>
      </c>
      <c r="C9" s="172"/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6"/>
      <c r="AA9" s="6"/>
      <c r="AB9" s="6"/>
      <c r="AC9" s="6"/>
      <c r="AD9" s="6"/>
      <c r="AE9" s="6"/>
      <c r="AF9" s="6"/>
      <c r="AG9" s="6"/>
    </row>
    <row r="10" spans="1:40" ht="19.350000000000001" customHeight="1">
      <c r="A10" s="8"/>
      <c r="B10" s="17"/>
      <c r="C10" s="172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6"/>
      <c r="AA10" s="6"/>
      <c r="AB10" s="6"/>
      <c r="AC10" s="6"/>
      <c r="AD10" s="6"/>
      <c r="AE10" s="6"/>
      <c r="AF10" s="6"/>
      <c r="AG10" s="6"/>
    </row>
    <row r="11" spans="1:40" ht="19.350000000000001" customHeight="1">
      <c r="A11" s="8"/>
      <c r="B11" s="17"/>
      <c r="C11" s="172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6"/>
      <c r="AA11" s="6"/>
      <c r="AB11" s="6"/>
      <c r="AC11" s="6"/>
      <c r="AD11" s="6"/>
      <c r="AE11" s="6"/>
      <c r="AF11" s="6"/>
      <c r="AG11" s="6"/>
    </row>
    <row r="12" spans="1:40" ht="19.350000000000001" customHeight="1">
      <c r="A12" s="8"/>
      <c r="B12" s="6"/>
      <c r="C12" s="6"/>
      <c r="D12" s="1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</row>
    <row r="13" spans="1:40" ht="19.350000000000001" customHeight="1">
      <c r="A13" s="181" t="s">
        <v>119</v>
      </c>
      <c r="B13" s="182"/>
      <c r="C13" s="181" t="s">
        <v>11</v>
      </c>
      <c r="D13" s="182"/>
      <c r="E13" s="181" t="s">
        <v>12</v>
      </c>
      <c r="F13" s="182"/>
      <c r="G13" s="181" t="s">
        <v>13</v>
      </c>
      <c r="H13" s="211"/>
      <c r="I13" s="182"/>
      <c r="J13" s="173" t="s">
        <v>120</v>
      </c>
      <c r="K13" s="174"/>
      <c r="L13" s="174"/>
      <c r="M13" s="174"/>
      <c r="N13" s="174"/>
      <c r="O13" s="175"/>
      <c r="P13" s="178" t="s">
        <v>14</v>
      </c>
      <c r="Q13" s="179"/>
      <c r="R13" s="180"/>
      <c r="S13" s="173" t="s">
        <v>121</v>
      </c>
      <c r="T13" s="174"/>
      <c r="U13" s="174"/>
      <c r="V13" s="174"/>
      <c r="W13" s="174"/>
      <c r="X13" s="175"/>
      <c r="Y13" s="178" t="s">
        <v>122</v>
      </c>
      <c r="Z13" s="179"/>
      <c r="AA13" s="180"/>
      <c r="AB13" s="173" t="s">
        <v>123</v>
      </c>
      <c r="AC13" s="174"/>
      <c r="AD13" s="174"/>
      <c r="AE13" s="174"/>
      <c r="AF13" s="174"/>
      <c r="AG13" s="175"/>
      <c r="AH13" s="161"/>
    </row>
    <row r="14" spans="1:40" ht="19.350000000000001" customHeight="1">
      <c r="A14" s="193"/>
      <c r="B14" s="194"/>
      <c r="C14" s="193"/>
      <c r="D14" s="194"/>
      <c r="E14" s="193"/>
      <c r="F14" s="194"/>
      <c r="G14" s="193"/>
      <c r="H14" s="212"/>
      <c r="I14" s="194"/>
      <c r="J14" s="176" t="s">
        <v>15</v>
      </c>
      <c r="K14" s="173" t="s">
        <v>124</v>
      </c>
      <c r="L14" s="174"/>
      <c r="M14" s="174"/>
      <c r="N14" s="175"/>
      <c r="O14" s="176" t="s">
        <v>125</v>
      </c>
      <c r="P14" s="181" t="s">
        <v>14</v>
      </c>
      <c r="Q14" s="182"/>
      <c r="R14" s="185" t="s">
        <v>126</v>
      </c>
      <c r="S14" s="176" t="s">
        <v>15</v>
      </c>
      <c r="T14" s="173" t="s">
        <v>124</v>
      </c>
      <c r="U14" s="174"/>
      <c r="V14" s="174"/>
      <c r="W14" s="175"/>
      <c r="X14" s="176" t="s">
        <v>125</v>
      </c>
      <c r="Y14" s="181" t="s">
        <v>122</v>
      </c>
      <c r="Z14" s="182"/>
      <c r="AA14" s="185" t="s">
        <v>126</v>
      </c>
      <c r="AB14" s="176" t="s">
        <v>15</v>
      </c>
      <c r="AC14" s="173" t="s">
        <v>124</v>
      </c>
      <c r="AD14" s="174"/>
      <c r="AE14" s="174"/>
      <c r="AF14" s="175"/>
      <c r="AG14" s="176" t="s">
        <v>125</v>
      </c>
      <c r="AH14" s="161"/>
    </row>
    <row r="15" spans="1:40" ht="19.350000000000001" customHeight="1">
      <c r="A15" s="183"/>
      <c r="B15" s="184"/>
      <c r="C15" s="183"/>
      <c r="D15" s="184"/>
      <c r="E15" s="183"/>
      <c r="F15" s="184"/>
      <c r="G15" s="183"/>
      <c r="H15" s="213"/>
      <c r="I15" s="184"/>
      <c r="J15" s="177"/>
      <c r="K15" s="160" t="s">
        <v>127</v>
      </c>
      <c r="L15" s="160" t="s">
        <v>128</v>
      </c>
      <c r="M15" s="160" t="s">
        <v>129</v>
      </c>
      <c r="N15" s="160" t="s">
        <v>16</v>
      </c>
      <c r="O15" s="177"/>
      <c r="P15" s="183"/>
      <c r="Q15" s="184"/>
      <c r="R15" s="186"/>
      <c r="S15" s="177"/>
      <c r="T15" s="160" t="s">
        <v>127</v>
      </c>
      <c r="U15" s="160" t="s">
        <v>128</v>
      </c>
      <c r="V15" s="160" t="s">
        <v>129</v>
      </c>
      <c r="W15" s="160" t="s">
        <v>16</v>
      </c>
      <c r="X15" s="177"/>
      <c r="Y15" s="183"/>
      <c r="Z15" s="184"/>
      <c r="AA15" s="186"/>
      <c r="AB15" s="177"/>
      <c r="AC15" s="160" t="s">
        <v>127</v>
      </c>
      <c r="AD15" s="160" t="s">
        <v>128</v>
      </c>
      <c r="AE15" s="160" t="s">
        <v>129</v>
      </c>
      <c r="AF15" s="160" t="s">
        <v>16</v>
      </c>
      <c r="AG15" s="177"/>
      <c r="AH15" s="161"/>
    </row>
    <row r="16" spans="1:40" ht="19.350000000000001" customHeight="1">
      <c r="A16" s="208"/>
      <c r="B16" s="209"/>
      <c r="C16" s="208"/>
      <c r="D16" s="210"/>
      <c r="E16" s="208"/>
      <c r="F16" s="209"/>
      <c r="G16" s="208"/>
      <c r="H16" s="210"/>
      <c r="I16" s="209"/>
      <c r="J16" s="138"/>
      <c r="K16" s="138"/>
      <c r="L16" s="138"/>
      <c r="M16" s="138"/>
      <c r="N16" s="138"/>
      <c r="O16" s="155" t="str">
        <f t="shared" ref="O16:O40" si="0">IF(AND(J16&lt;&gt;"",J16&gt;0,MAX(K16:N16)&lt;&gt;"",MAX(K16:N16)&gt;0),INDEX(RiskRankMatrix,J16,MAX(K16:N16)),"")</f>
        <v/>
      </c>
      <c r="P16" s="187"/>
      <c r="Q16" s="188"/>
      <c r="R16" s="157"/>
      <c r="S16" s="138"/>
      <c r="T16" s="138"/>
      <c r="U16" s="138"/>
      <c r="V16" s="138"/>
      <c r="W16" s="138"/>
      <c r="X16" s="155" t="str">
        <f t="shared" ref="X16:X40" si="1">IF(AND(S16&lt;&gt;"",S16&gt;0,MAX(T16:W16)&lt;&gt;"",MAX(T16:W16)&gt;0),INDEX(RiskRankMatrix,S16,MAX(T16:W16)),"")</f>
        <v/>
      </c>
      <c r="Y16" s="187"/>
      <c r="Z16" s="188"/>
      <c r="AA16" s="157"/>
      <c r="AB16" s="138"/>
      <c r="AC16" s="138"/>
      <c r="AD16" s="138"/>
      <c r="AE16" s="138"/>
      <c r="AF16" s="138"/>
      <c r="AG16" s="154" t="str">
        <f t="shared" ref="AG16:AG40" si="2">IF(AND(AB16&lt;&gt;"",AB16&gt;0,MAX(AC16:AF16)&lt;&gt;"",MAX(AC16:AF16)&gt;0),INDEX(RiskRankMatrix,AB16,MAX(AC16:AF16)),"")</f>
        <v/>
      </c>
    </row>
    <row r="17" spans="1:33" ht="19.350000000000001" customHeight="1">
      <c r="A17" s="197"/>
      <c r="B17" s="198"/>
      <c r="C17" s="197"/>
      <c r="D17" s="198"/>
      <c r="E17" s="197"/>
      <c r="F17" s="198"/>
      <c r="G17" s="197"/>
      <c r="H17" s="199"/>
      <c r="I17" s="198"/>
      <c r="J17" s="139"/>
      <c r="K17" s="139"/>
      <c r="L17" s="139"/>
      <c r="M17" s="139"/>
      <c r="N17" s="139"/>
      <c r="O17" s="139" t="str">
        <f t="shared" si="0"/>
        <v/>
      </c>
      <c r="P17" s="189"/>
      <c r="Q17" s="190"/>
      <c r="R17" s="133"/>
      <c r="S17" s="139"/>
      <c r="T17" s="139"/>
      <c r="U17" s="139"/>
      <c r="V17" s="139"/>
      <c r="W17" s="139"/>
      <c r="X17" s="139" t="str">
        <f t="shared" si="1"/>
        <v/>
      </c>
      <c r="Y17" s="189"/>
      <c r="Z17" s="190"/>
      <c r="AA17" s="133"/>
      <c r="AB17" s="139"/>
      <c r="AC17" s="139"/>
      <c r="AD17" s="139"/>
      <c r="AE17" s="139"/>
      <c r="AF17" s="139"/>
      <c r="AG17" s="139" t="str">
        <f t="shared" si="2"/>
        <v/>
      </c>
    </row>
    <row r="18" spans="1:33" ht="19.350000000000001" customHeight="1">
      <c r="A18" s="197"/>
      <c r="B18" s="198"/>
      <c r="C18" s="197"/>
      <c r="D18" s="198"/>
      <c r="E18" s="197"/>
      <c r="F18" s="198"/>
      <c r="G18" s="197"/>
      <c r="H18" s="199"/>
      <c r="I18" s="198"/>
      <c r="J18" s="139"/>
      <c r="K18" s="139"/>
      <c r="L18" s="139"/>
      <c r="M18" s="139"/>
      <c r="N18" s="139"/>
      <c r="O18" s="139" t="str">
        <f t="shared" si="0"/>
        <v/>
      </c>
      <c r="P18" s="189"/>
      <c r="Q18" s="190"/>
      <c r="R18" s="133"/>
      <c r="S18" s="139"/>
      <c r="T18" s="139"/>
      <c r="U18" s="139"/>
      <c r="V18" s="139"/>
      <c r="W18" s="139"/>
      <c r="X18" s="139" t="str">
        <f t="shared" si="1"/>
        <v/>
      </c>
      <c r="Y18" s="189"/>
      <c r="Z18" s="190"/>
      <c r="AA18" s="133"/>
      <c r="AB18" s="139"/>
      <c r="AC18" s="139"/>
      <c r="AD18" s="139"/>
      <c r="AE18" s="139"/>
      <c r="AF18" s="139"/>
      <c r="AG18" s="139" t="str">
        <f t="shared" si="2"/>
        <v/>
      </c>
    </row>
    <row r="19" spans="1:33" ht="19.350000000000001" customHeight="1">
      <c r="A19" s="197"/>
      <c r="B19" s="198"/>
      <c r="C19" s="197"/>
      <c r="D19" s="198"/>
      <c r="E19" s="197"/>
      <c r="F19" s="198"/>
      <c r="G19" s="197"/>
      <c r="H19" s="199"/>
      <c r="I19" s="198"/>
      <c r="J19" s="139"/>
      <c r="K19" s="139"/>
      <c r="L19" s="139"/>
      <c r="M19" s="139"/>
      <c r="N19" s="139"/>
      <c r="O19" s="139" t="str">
        <f t="shared" si="0"/>
        <v/>
      </c>
      <c r="P19" s="189"/>
      <c r="Q19" s="190"/>
      <c r="R19" s="133"/>
      <c r="S19" s="139"/>
      <c r="T19" s="139"/>
      <c r="U19" s="139"/>
      <c r="V19" s="139"/>
      <c r="W19" s="139"/>
      <c r="X19" s="139" t="str">
        <f t="shared" si="1"/>
        <v/>
      </c>
      <c r="Y19" s="189"/>
      <c r="Z19" s="190"/>
      <c r="AA19" s="133"/>
      <c r="AB19" s="139"/>
      <c r="AC19" s="139"/>
      <c r="AD19" s="139"/>
      <c r="AE19" s="139"/>
      <c r="AF19" s="139"/>
      <c r="AG19" s="139" t="str">
        <f t="shared" si="2"/>
        <v/>
      </c>
    </row>
    <row r="20" spans="1:33" ht="19.350000000000001" customHeight="1">
      <c r="A20" s="197"/>
      <c r="B20" s="198"/>
      <c r="C20" s="197"/>
      <c r="D20" s="198"/>
      <c r="E20" s="197"/>
      <c r="F20" s="198"/>
      <c r="G20" s="197"/>
      <c r="H20" s="199"/>
      <c r="I20" s="198"/>
      <c r="J20" s="139"/>
      <c r="K20" s="139"/>
      <c r="L20" s="139"/>
      <c r="M20" s="139"/>
      <c r="N20" s="139"/>
      <c r="O20" s="139" t="str">
        <f t="shared" si="0"/>
        <v/>
      </c>
      <c r="P20" s="189"/>
      <c r="Q20" s="190"/>
      <c r="R20" s="133"/>
      <c r="S20" s="139"/>
      <c r="T20" s="139"/>
      <c r="U20" s="139"/>
      <c r="V20" s="139"/>
      <c r="W20" s="139"/>
      <c r="X20" s="139" t="str">
        <f t="shared" si="1"/>
        <v/>
      </c>
      <c r="Y20" s="189"/>
      <c r="Z20" s="190"/>
      <c r="AA20" s="133"/>
      <c r="AB20" s="139"/>
      <c r="AC20" s="139"/>
      <c r="AD20" s="139"/>
      <c r="AE20" s="139"/>
      <c r="AF20" s="139"/>
      <c r="AG20" s="139" t="str">
        <f t="shared" si="2"/>
        <v/>
      </c>
    </row>
    <row r="21" spans="1:33" ht="19.350000000000001" customHeight="1">
      <c r="A21" s="197"/>
      <c r="B21" s="198"/>
      <c r="C21" s="197"/>
      <c r="D21" s="198"/>
      <c r="E21" s="197"/>
      <c r="F21" s="198"/>
      <c r="G21" s="197"/>
      <c r="H21" s="199"/>
      <c r="I21" s="198"/>
      <c r="J21" s="139"/>
      <c r="K21" s="139"/>
      <c r="L21" s="139"/>
      <c r="M21" s="139"/>
      <c r="N21" s="139"/>
      <c r="O21" s="139" t="str">
        <f t="shared" si="0"/>
        <v/>
      </c>
      <c r="P21" s="189"/>
      <c r="Q21" s="190"/>
      <c r="R21" s="133"/>
      <c r="S21" s="139"/>
      <c r="T21" s="139"/>
      <c r="U21" s="139"/>
      <c r="V21" s="139"/>
      <c r="W21" s="139"/>
      <c r="X21" s="139" t="str">
        <f t="shared" si="1"/>
        <v/>
      </c>
      <c r="Y21" s="189"/>
      <c r="Z21" s="190"/>
      <c r="AA21" s="133"/>
      <c r="AB21" s="139"/>
      <c r="AC21" s="139"/>
      <c r="AD21" s="139"/>
      <c r="AE21" s="139"/>
      <c r="AF21" s="139"/>
      <c r="AG21" s="139" t="str">
        <f t="shared" si="2"/>
        <v/>
      </c>
    </row>
    <row r="22" spans="1:33" ht="19.350000000000001" customHeight="1">
      <c r="A22" s="197"/>
      <c r="B22" s="198"/>
      <c r="C22" s="197"/>
      <c r="D22" s="198"/>
      <c r="E22" s="197"/>
      <c r="F22" s="198"/>
      <c r="G22" s="197"/>
      <c r="H22" s="199"/>
      <c r="I22" s="198"/>
      <c r="J22" s="139"/>
      <c r="K22" s="139"/>
      <c r="L22" s="139"/>
      <c r="M22" s="139"/>
      <c r="N22" s="139"/>
      <c r="O22" s="139" t="str">
        <f t="shared" si="0"/>
        <v/>
      </c>
      <c r="P22" s="189"/>
      <c r="Q22" s="190"/>
      <c r="R22" s="133"/>
      <c r="S22" s="139"/>
      <c r="T22" s="139"/>
      <c r="U22" s="139"/>
      <c r="V22" s="139"/>
      <c r="W22" s="139"/>
      <c r="X22" s="139" t="str">
        <f t="shared" si="1"/>
        <v/>
      </c>
      <c r="Y22" s="189"/>
      <c r="Z22" s="190"/>
      <c r="AA22" s="133"/>
      <c r="AB22" s="139"/>
      <c r="AC22" s="139"/>
      <c r="AD22" s="139"/>
      <c r="AE22" s="139"/>
      <c r="AF22" s="139"/>
      <c r="AG22" s="139" t="str">
        <f t="shared" si="2"/>
        <v/>
      </c>
    </row>
    <row r="23" spans="1:33" ht="19.350000000000001" customHeight="1">
      <c r="A23" s="197"/>
      <c r="B23" s="198"/>
      <c r="C23" s="197"/>
      <c r="D23" s="198"/>
      <c r="E23" s="197"/>
      <c r="F23" s="198"/>
      <c r="G23" s="197"/>
      <c r="H23" s="199"/>
      <c r="I23" s="198"/>
      <c r="J23" s="139"/>
      <c r="K23" s="139"/>
      <c r="L23" s="139"/>
      <c r="M23" s="139"/>
      <c r="N23" s="139"/>
      <c r="O23" s="139" t="str">
        <f t="shared" si="0"/>
        <v/>
      </c>
      <c r="P23" s="189"/>
      <c r="Q23" s="190"/>
      <c r="R23" s="133"/>
      <c r="S23" s="139"/>
      <c r="T23" s="139"/>
      <c r="U23" s="139"/>
      <c r="V23" s="139"/>
      <c r="W23" s="139"/>
      <c r="X23" s="139" t="str">
        <f t="shared" si="1"/>
        <v/>
      </c>
      <c r="Y23" s="189"/>
      <c r="Z23" s="190"/>
      <c r="AA23" s="133"/>
      <c r="AB23" s="139"/>
      <c r="AC23" s="139"/>
      <c r="AD23" s="139"/>
      <c r="AE23" s="139"/>
      <c r="AF23" s="139"/>
      <c r="AG23" s="139" t="str">
        <f t="shared" si="2"/>
        <v/>
      </c>
    </row>
    <row r="24" spans="1:33" ht="19.350000000000001" customHeight="1">
      <c r="A24" s="197"/>
      <c r="B24" s="198"/>
      <c r="C24" s="207"/>
      <c r="D24" s="197"/>
      <c r="E24" s="197"/>
      <c r="F24" s="198"/>
      <c r="G24" s="197"/>
      <c r="H24" s="199"/>
      <c r="I24" s="198"/>
      <c r="J24" s="139"/>
      <c r="K24" s="139"/>
      <c r="L24" s="139"/>
      <c r="M24" s="139"/>
      <c r="N24" s="139"/>
      <c r="O24" s="139" t="str">
        <f t="shared" si="0"/>
        <v/>
      </c>
      <c r="P24" s="189"/>
      <c r="Q24" s="190"/>
      <c r="R24" s="133"/>
      <c r="S24" s="139"/>
      <c r="T24" s="139"/>
      <c r="U24" s="139"/>
      <c r="V24" s="139"/>
      <c r="W24" s="139"/>
      <c r="X24" s="139" t="str">
        <f t="shared" si="1"/>
        <v/>
      </c>
      <c r="Y24" s="189"/>
      <c r="Z24" s="190"/>
      <c r="AA24" s="133"/>
      <c r="AB24" s="139"/>
      <c r="AC24" s="139"/>
      <c r="AD24" s="139"/>
      <c r="AE24" s="139"/>
      <c r="AF24" s="139"/>
      <c r="AG24" s="139" t="str">
        <f t="shared" si="2"/>
        <v/>
      </c>
    </row>
    <row r="25" spans="1:33" ht="19.350000000000001" customHeight="1">
      <c r="A25" s="197"/>
      <c r="B25" s="198"/>
      <c r="C25" s="197"/>
      <c r="D25" s="198"/>
      <c r="E25" s="197"/>
      <c r="F25" s="198"/>
      <c r="G25" s="197"/>
      <c r="H25" s="199"/>
      <c r="I25" s="198"/>
      <c r="J25" s="139"/>
      <c r="K25" s="139"/>
      <c r="L25" s="139"/>
      <c r="M25" s="139"/>
      <c r="N25" s="139"/>
      <c r="O25" s="139" t="str">
        <f t="shared" si="0"/>
        <v/>
      </c>
      <c r="P25" s="189"/>
      <c r="Q25" s="190"/>
      <c r="R25" s="133"/>
      <c r="S25" s="139"/>
      <c r="T25" s="139"/>
      <c r="U25" s="139"/>
      <c r="V25" s="139"/>
      <c r="W25" s="139"/>
      <c r="X25" s="139" t="str">
        <f t="shared" si="1"/>
        <v/>
      </c>
      <c r="Y25" s="189"/>
      <c r="Z25" s="190"/>
      <c r="AA25" s="133"/>
      <c r="AB25" s="139"/>
      <c r="AC25" s="139"/>
      <c r="AD25" s="139"/>
      <c r="AE25" s="139"/>
      <c r="AF25" s="139"/>
      <c r="AG25" s="139" t="str">
        <f t="shared" si="2"/>
        <v/>
      </c>
    </row>
    <row r="26" spans="1:33" ht="19.350000000000001" customHeight="1">
      <c r="A26" s="197"/>
      <c r="B26" s="198"/>
      <c r="C26" s="197"/>
      <c r="D26" s="198"/>
      <c r="E26" s="197"/>
      <c r="F26" s="198"/>
      <c r="G26" s="197"/>
      <c r="H26" s="199"/>
      <c r="I26" s="198"/>
      <c r="J26" s="139"/>
      <c r="K26" s="139"/>
      <c r="L26" s="139"/>
      <c r="M26" s="139"/>
      <c r="N26" s="139"/>
      <c r="O26" s="139" t="str">
        <f t="shared" si="0"/>
        <v/>
      </c>
      <c r="P26" s="189"/>
      <c r="Q26" s="190"/>
      <c r="R26" s="133"/>
      <c r="S26" s="139"/>
      <c r="T26" s="139"/>
      <c r="U26" s="139"/>
      <c r="V26" s="139"/>
      <c r="W26" s="139"/>
      <c r="X26" s="139" t="str">
        <f t="shared" si="1"/>
        <v/>
      </c>
      <c r="Y26" s="189"/>
      <c r="Z26" s="190"/>
      <c r="AA26" s="133"/>
      <c r="AB26" s="139"/>
      <c r="AC26" s="139"/>
      <c r="AD26" s="139"/>
      <c r="AE26" s="139"/>
      <c r="AF26" s="139"/>
      <c r="AG26" s="139" t="str">
        <f t="shared" si="2"/>
        <v/>
      </c>
    </row>
    <row r="27" spans="1:33" ht="19.350000000000001" customHeight="1">
      <c r="A27" s="197"/>
      <c r="B27" s="198"/>
      <c r="C27" s="197"/>
      <c r="D27" s="198"/>
      <c r="E27" s="197"/>
      <c r="F27" s="198"/>
      <c r="G27" s="197"/>
      <c r="H27" s="199"/>
      <c r="I27" s="198"/>
      <c r="J27" s="139"/>
      <c r="K27" s="139"/>
      <c r="L27" s="139"/>
      <c r="M27" s="139"/>
      <c r="N27" s="139"/>
      <c r="O27" s="139" t="str">
        <f t="shared" si="0"/>
        <v/>
      </c>
      <c r="P27" s="189"/>
      <c r="Q27" s="190"/>
      <c r="R27" s="133"/>
      <c r="S27" s="139"/>
      <c r="T27" s="139"/>
      <c r="U27" s="139"/>
      <c r="V27" s="139"/>
      <c r="W27" s="139"/>
      <c r="X27" s="139" t="str">
        <f t="shared" si="1"/>
        <v/>
      </c>
      <c r="Y27" s="189"/>
      <c r="Z27" s="190"/>
      <c r="AA27" s="133"/>
      <c r="AB27" s="139"/>
      <c r="AC27" s="139"/>
      <c r="AD27" s="139"/>
      <c r="AE27" s="139"/>
      <c r="AF27" s="139"/>
      <c r="AG27" s="139" t="str">
        <f t="shared" si="2"/>
        <v/>
      </c>
    </row>
    <row r="28" spans="1:33" ht="19.350000000000001" customHeight="1">
      <c r="A28" s="197"/>
      <c r="B28" s="198"/>
      <c r="C28" s="197"/>
      <c r="D28" s="198"/>
      <c r="E28" s="197"/>
      <c r="F28" s="198"/>
      <c r="G28" s="197"/>
      <c r="H28" s="199"/>
      <c r="I28" s="198"/>
      <c r="J28" s="139"/>
      <c r="K28" s="139"/>
      <c r="L28" s="139"/>
      <c r="M28" s="139"/>
      <c r="N28" s="139"/>
      <c r="O28" s="139" t="str">
        <f t="shared" si="0"/>
        <v/>
      </c>
      <c r="P28" s="189"/>
      <c r="Q28" s="190"/>
      <c r="R28" s="133"/>
      <c r="S28" s="139"/>
      <c r="T28" s="139"/>
      <c r="U28" s="139"/>
      <c r="V28" s="139"/>
      <c r="W28" s="139"/>
      <c r="X28" s="139" t="str">
        <f t="shared" si="1"/>
        <v/>
      </c>
      <c r="Y28" s="189"/>
      <c r="Z28" s="190"/>
      <c r="AA28" s="133"/>
      <c r="AB28" s="139"/>
      <c r="AC28" s="139"/>
      <c r="AD28" s="139"/>
      <c r="AE28" s="139"/>
      <c r="AF28" s="139"/>
      <c r="AG28" s="139" t="str">
        <f t="shared" si="2"/>
        <v/>
      </c>
    </row>
    <row r="29" spans="1:33" ht="19.350000000000001" customHeight="1">
      <c r="A29" s="197"/>
      <c r="B29" s="198"/>
      <c r="C29" s="197"/>
      <c r="D29" s="198"/>
      <c r="E29" s="197"/>
      <c r="F29" s="198"/>
      <c r="G29" s="197"/>
      <c r="H29" s="199"/>
      <c r="I29" s="198"/>
      <c r="J29" s="139"/>
      <c r="K29" s="139"/>
      <c r="L29" s="139"/>
      <c r="M29" s="139"/>
      <c r="N29" s="139"/>
      <c r="O29" s="139" t="str">
        <f t="shared" si="0"/>
        <v/>
      </c>
      <c r="P29" s="189"/>
      <c r="Q29" s="190"/>
      <c r="R29" s="133"/>
      <c r="S29" s="139"/>
      <c r="T29" s="139"/>
      <c r="U29" s="139"/>
      <c r="V29" s="139"/>
      <c r="W29" s="139"/>
      <c r="X29" s="139" t="str">
        <f t="shared" si="1"/>
        <v/>
      </c>
      <c r="Y29" s="189"/>
      <c r="Z29" s="190"/>
      <c r="AA29" s="133"/>
      <c r="AB29" s="139"/>
      <c r="AC29" s="139"/>
      <c r="AD29" s="139"/>
      <c r="AE29" s="139"/>
      <c r="AF29" s="139"/>
      <c r="AG29" s="139" t="str">
        <f t="shared" si="2"/>
        <v/>
      </c>
    </row>
    <row r="30" spans="1:33" ht="19.350000000000001" customHeight="1">
      <c r="A30" s="197"/>
      <c r="B30" s="198"/>
      <c r="C30" s="207"/>
      <c r="D30" s="197"/>
      <c r="E30" s="197"/>
      <c r="F30" s="198"/>
      <c r="G30" s="197"/>
      <c r="H30" s="199"/>
      <c r="I30" s="198"/>
      <c r="J30" s="139"/>
      <c r="K30" s="139"/>
      <c r="L30" s="139"/>
      <c r="M30" s="139"/>
      <c r="N30" s="139"/>
      <c r="O30" s="139" t="str">
        <f t="shared" si="0"/>
        <v/>
      </c>
      <c r="P30" s="189"/>
      <c r="Q30" s="190"/>
      <c r="R30" s="133"/>
      <c r="S30" s="139"/>
      <c r="T30" s="139"/>
      <c r="U30" s="139"/>
      <c r="V30" s="139"/>
      <c r="W30" s="139"/>
      <c r="X30" s="139" t="str">
        <f t="shared" si="1"/>
        <v/>
      </c>
      <c r="Y30" s="189"/>
      <c r="Z30" s="190"/>
      <c r="AA30" s="133"/>
      <c r="AB30" s="139"/>
      <c r="AC30" s="139"/>
      <c r="AD30" s="139"/>
      <c r="AE30" s="139"/>
      <c r="AF30" s="139"/>
      <c r="AG30" s="139" t="str">
        <f t="shared" si="2"/>
        <v/>
      </c>
    </row>
    <row r="31" spans="1:33" ht="19.350000000000001" customHeight="1">
      <c r="A31" s="197"/>
      <c r="B31" s="198"/>
      <c r="C31" s="197"/>
      <c r="D31" s="198"/>
      <c r="E31" s="197"/>
      <c r="F31" s="198"/>
      <c r="G31" s="197"/>
      <c r="H31" s="199"/>
      <c r="I31" s="198"/>
      <c r="J31" s="139"/>
      <c r="K31" s="139"/>
      <c r="L31" s="139"/>
      <c r="M31" s="139"/>
      <c r="N31" s="139"/>
      <c r="O31" s="139" t="str">
        <f t="shared" si="0"/>
        <v/>
      </c>
      <c r="P31" s="189"/>
      <c r="Q31" s="190"/>
      <c r="R31" s="133"/>
      <c r="S31" s="139"/>
      <c r="T31" s="139"/>
      <c r="U31" s="139"/>
      <c r="V31" s="139"/>
      <c r="W31" s="139"/>
      <c r="X31" s="139" t="str">
        <f t="shared" si="1"/>
        <v/>
      </c>
      <c r="Y31" s="189"/>
      <c r="Z31" s="190"/>
      <c r="AA31" s="133"/>
      <c r="AB31" s="139"/>
      <c r="AC31" s="139"/>
      <c r="AD31" s="139"/>
      <c r="AE31" s="139"/>
      <c r="AF31" s="139"/>
      <c r="AG31" s="139" t="str">
        <f t="shared" si="2"/>
        <v/>
      </c>
    </row>
    <row r="32" spans="1:33" ht="19.350000000000001" customHeight="1">
      <c r="A32" s="197"/>
      <c r="B32" s="198"/>
      <c r="C32" s="197"/>
      <c r="D32" s="198"/>
      <c r="E32" s="197"/>
      <c r="F32" s="198"/>
      <c r="G32" s="197"/>
      <c r="H32" s="199"/>
      <c r="I32" s="198"/>
      <c r="J32" s="139"/>
      <c r="K32" s="139"/>
      <c r="L32" s="139"/>
      <c r="M32" s="139"/>
      <c r="N32" s="139"/>
      <c r="O32" s="139" t="str">
        <f t="shared" si="0"/>
        <v/>
      </c>
      <c r="P32" s="189"/>
      <c r="Q32" s="190"/>
      <c r="R32" s="133"/>
      <c r="S32" s="139"/>
      <c r="T32" s="139"/>
      <c r="U32" s="139"/>
      <c r="V32" s="139"/>
      <c r="W32" s="139"/>
      <c r="X32" s="139" t="str">
        <f t="shared" si="1"/>
        <v/>
      </c>
      <c r="Y32" s="189"/>
      <c r="Z32" s="190"/>
      <c r="AA32" s="133"/>
      <c r="AB32" s="139"/>
      <c r="AC32" s="139"/>
      <c r="AD32" s="139"/>
      <c r="AE32" s="139"/>
      <c r="AF32" s="139"/>
      <c r="AG32" s="139" t="str">
        <f t="shared" si="2"/>
        <v/>
      </c>
    </row>
    <row r="33" spans="1:33" ht="19.350000000000001" customHeight="1">
      <c r="A33" s="197"/>
      <c r="B33" s="198"/>
      <c r="C33" s="197"/>
      <c r="D33" s="198"/>
      <c r="E33" s="197"/>
      <c r="F33" s="198"/>
      <c r="G33" s="197"/>
      <c r="H33" s="199"/>
      <c r="I33" s="198"/>
      <c r="J33" s="139"/>
      <c r="K33" s="139"/>
      <c r="L33" s="139"/>
      <c r="M33" s="139"/>
      <c r="N33" s="139"/>
      <c r="O33" s="139" t="str">
        <f t="shared" si="0"/>
        <v/>
      </c>
      <c r="P33" s="189"/>
      <c r="Q33" s="190"/>
      <c r="R33" s="133"/>
      <c r="S33" s="139"/>
      <c r="T33" s="139"/>
      <c r="U33" s="139"/>
      <c r="V33" s="139"/>
      <c r="W33" s="139"/>
      <c r="X33" s="139" t="str">
        <f t="shared" si="1"/>
        <v/>
      </c>
      <c r="Y33" s="189"/>
      <c r="Z33" s="190"/>
      <c r="AA33" s="133"/>
      <c r="AB33" s="139"/>
      <c r="AC33" s="139"/>
      <c r="AD33" s="139"/>
      <c r="AE33" s="139"/>
      <c r="AF33" s="139"/>
      <c r="AG33" s="139" t="str">
        <f t="shared" si="2"/>
        <v/>
      </c>
    </row>
    <row r="34" spans="1:33" ht="19.350000000000001" customHeight="1">
      <c r="A34" s="197"/>
      <c r="B34" s="198"/>
      <c r="C34" s="197"/>
      <c r="D34" s="198"/>
      <c r="E34" s="197"/>
      <c r="F34" s="198"/>
      <c r="G34" s="197"/>
      <c r="H34" s="199"/>
      <c r="I34" s="198"/>
      <c r="J34" s="139"/>
      <c r="K34" s="139"/>
      <c r="L34" s="139"/>
      <c r="M34" s="139"/>
      <c r="N34" s="139"/>
      <c r="O34" s="139" t="str">
        <f t="shared" si="0"/>
        <v/>
      </c>
      <c r="P34" s="189"/>
      <c r="Q34" s="190"/>
      <c r="R34" s="133"/>
      <c r="S34" s="139"/>
      <c r="T34" s="139"/>
      <c r="U34" s="139"/>
      <c r="V34" s="139"/>
      <c r="W34" s="139"/>
      <c r="X34" s="139" t="str">
        <f t="shared" si="1"/>
        <v/>
      </c>
      <c r="Y34" s="189"/>
      <c r="Z34" s="190"/>
      <c r="AA34" s="133"/>
      <c r="AB34" s="139"/>
      <c r="AC34" s="139"/>
      <c r="AD34" s="139"/>
      <c r="AE34" s="139"/>
      <c r="AF34" s="139"/>
      <c r="AG34" s="139" t="str">
        <f t="shared" si="2"/>
        <v/>
      </c>
    </row>
    <row r="35" spans="1:33" ht="19.350000000000001" customHeight="1">
      <c r="A35" s="197"/>
      <c r="B35" s="198"/>
      <c r="C35" s="197"/>
      <c r="D35" s="198"/>
      <c r="E35" s="197"/>
      <c r="F35" s="198"/>
      <c r="G35" s="197"/>
      <c r="H35" s="199"/>
      <c r="I35" s="198"/>
      <c r="J35" s="139"/>
      <c r="K35" s="139"/>
      <c r="L35" s="139"/>
      <c r="M35" s="139"/>
      <c r="N35" s="139"/>
      <c r="O35" s="139" t="str">
        <f t="shared" si="0"/>
        <v/>
      </c>
      <c r="P35" s="189"/>
      <c r="Q35" s="190"/>
      <c r="R35" s="133"/>
      <c r="S35" s="139"/>
      <c r="T35" s="139"/>
      <c r="U35" s="139"/>
      <c r="V35" s="139"/>
      <c r="W35" s="139"/>
      <c r="X35" s="139" t="str">
        <f t="shared" si="1"/>
        <v/>
      </c>
      <c r="Y35" s="189"/>
      <c r="Z35" s="190"/>
      <c r="AA35" s="133"/>
      <c r="AB35" s="139"/>
      <c r="AC35" s="139"/>
      <c r="AD35" s="139"/>
      <c r="AE35" s="139"/>
      <c r="AF35" s="139"/>
      <c r="AG35" s="139" t="str">
        <f t="shared" si="2"/>
        <v/>
      </c>
    </row>
    <row r="36" spans="1:33" ht="19.350000000000001" customHeight="1">
      <c r="A36" s="197"/>
      <c r="B36" s="198"/>
      <c r="C36" s="207"/>
      <c r="D36" s="197"/>
      <c r="E36" s="197"/>
      <c r="F36" s="198"/>
      <c r="G36" s="197"/>
      <c r="H36" s="199"/>
      <c r="I36" s="198"/>
      <c r="J36" s="139"/>
      <c r="K36" s="139"/>
      <c r="L36" s="139"/>
      <c r="M36" s="139"/>
      <c r="N36" s="139"/>
      <c r="O36" s="139" t="str">
        <f t="shared" si="0"/>
        <v/>
      </c>
      <c r="P36" s="189"/>
      <c r="Q36" s="190"/>
      <c r="R36" s="133"/>
      <c r="S36" s="139"/>
      <c r="T36" s="139"/>
      <c r="U36" s="139"/>
      <c r="V36" s="139"/>
      <c r="W36" s="139"/>
      <c r="X36" s="139" t="str">
        <f t="shared" si="1"/>
        <v/>
      </c>
      <c r="Y36" s="189"/>
      <c r="Z36" s="190"/>
      <c r="AA36" s="133"/>
      <c r="AB36" s="139"/>
      <c r="AC36" s="139"/>
      <c r="AD36" s="139"/>
      <c r="AE36" s="139"/>
      <c r="AF36" s="139"/>
      <c r="AG36" s="139" t="str">
        <f t="shared" si="2"/>
        <v/>
      </c>
    </row>
    <row r="37" spans="1:33" ht="19.350000000000001" customHeight="1">
      <c r="A37" s="197"/>
      <c r="B37" s="198"/>
      <c r="C37" s="197"/>
      <c r="D37" s="198"/>
      <c r="E37" s="197"/>
      <c r="F37" s="198"/>
      <c r="G37" s="197"/>
      <c r="H37" s="199"/>
      <c r="I37" s="198"/>
      <c r="J37" s="139"/>
      <c r="K37" s="139"/>
      <c r="L37" s="139"/>
      <c r="M37" s="139"/>
      <c r="N37" s="139"/>
      <c r="O37" s="139" t="str">
        <f t="shared" si="0"/>
        <v/>
      </c>
      <c r="P37" s="189"/>
      <c r="Q37" s="190"/>
      <c r="R37" s="133"/>
      <c r="S37" s="139"/>
      <c r="T37" s="139"/>
      <c r="U37" s="139"/>
      <c r="V37" s="139"/>
      <c r="W37" s="139"/>
      <c r="X37" s="139" t="str">
        <f t="shared" si="1"/>
        <v/>
      </c>
      <c r="Y37" s="189"/>
      <c r="Z37" s="190"/>
      <c r="AA37" s="133"/>
      <c r="AB37" s="139"/>
      <c r="AC37" s="139"/>
      <c r="AD37" s="139"/>
      <c r="AE37" s="139"/>
      <c r="AF37" s="139"/>
      <c r="AG37" s="139" t="str">
        <f t="shared" si="2"/>
        <v/>
      </c>
    </row>
    <row r="38" spans="1:33" ht="19.350000000000001" customHeight="1">
      <c r="A38" s="197"/>
      <c r="B38" s="198"/>
      <c r="C38" s="197"/>
      <c r="D38" s="198"/>
      <c r="E38" s="197"/>
      <c r="F38" s="198"/>
      <c r="G38" s="197"/>
      <c r="H38" s="199"/>
      <c r="I38" s="198"/>
      <c r="J38" s="139"/>
      <c r="K38" s="139"/>
      <c r="L38" s="139"/>
      <c r="M38" s="139"/>
      <c r="N38" s="139"/>
      <c r="O38" s="139" t="str">
        <f t="shared" si="0"/>
        <v/>
      </c>
      <c r="P38" s="189"/>
      <c r="Q38" s="190"/>
      <c r="R38" s="133"/>
      <c r="S38" s="139"/>
      <c r="T38" s="139"/>
      <c r="U38" s="139"/>
      <c r="V38" s="139"/>
      <c r="W38" s="139"/>
      <c r="X38" s="139" t="str">
        <f t="shared" si="1"/>
        <v/>
      </c>
      <c r="Y38" s="189"/>
      <c r="Z38" s="190"/>
      <c r="AA38" s="133"/>
      <c r="AB38" s="139"/>
      <c r="AC38" s="139"/>
      <c r="AD38" s="139"/>
      <c r="AE38" s="139"/>
      <c r="AF38" s="139"/>
      <c r="AG38" s="139" t="str">
        <f t="shared" si="2"/>
        <v/>
      </c>
    </row>
    <row r="39" spans="1:33" ht="19.350000000000001" customHeight="1">
      <c r="A39" s="197"/>
      <c r="B39" s="198"/>
      <c r="C39" s="197"/>
      <c r="D39" s="198"/>
      <c r="E39" s="197"/>
      <c r="F39" s="198"/>
      <c r="G39" s="197"/>
      <c r="H39" s="199"/>
      <c r="I39" s="198"/>
      <c r="J39" s="139"/>
      <c r="K39" s="139"/>
      <c r="L39" s="139"/>
      <c r="M39" s="139"/>
      <c r="N39" s="139"/>
      <c r="O39" s="139" t="str">
        <f t="shared" si="0"/>
        <v/>
      </c>
      <c r="P39" s="189"/>
      <c r="Q39" s="190"/>
      <c r="R39" s="133"/>
      <c r="S39" s="139"/>
      <c r="T39" s="139"/>
      <c r="U39" s="139"/>
      <c r="V39" s="139"/>
      <c r="W39" s="139"/>
      <c r="X39" s="139" t="str">
        <f t="shared" si="1"/>
        <v/>
      </c>
      <c r="Y39" s="189"/>
      <c r="Z39" s="190"/>
      <c r="AA39" s="133"/>
      <c r="AB39" s="139"/>
      <c r="AC39" s="139"/>
      <c r="AD39" s="139"/>
      <c r="AE39" s="139"/>
      <c r="AF39" s="139"/>
      <c r="AG39" s="139" t="str">
        <f t="shared" si="2"/>
        <v/>
      </c>
    </row>
    <row r="40" spans="1:33" ht="19.350000000000001" customHeight="1">
      <c r="A40" s="200"/>
      <c r="B40" s="201"/>
      <c r="C40" s="202"/>
      <c r="D40" s="203"/>
      <c r="E40" s="200"/>
      <c r="F40" s="201"/>
      <c r="G40" s="200"/>
      <c r="H40" s="204"/>
      <c r="I40" s="201"/>
      <c r="J40" s="140"/>
      <c r="K40" s="141"/>
      <c r="L40" s="142"/>
      <c r="M40" s="141"/>
      <c r="N40" s="143"/>
      <c r="O40" s="143" t="str">
        <f t="shared" si="0"/>
        <v/>
      </c>
      <c r="P40" s="205"/>
      <c r="Q40" s="206"/>
      <c r="R40" s="158"/>
      <c r="S40" s="140"/>
      <c r="T40" s="141"/>
      <c r="U40" s="142"/>
      <c r="V40" s="141"/>
      <c r="W40" s="143"/>
      <c r="X40" s="141" t="str">
        <f t="shared" si="1"/>
        <v/>
      </c>
      <c r="Y40" s="205"/>
      <c r="Z40" s="206"/>
      <c r="AA40" s="158"/>
      <c r="AB40" s="140"/>
      <c r="AC40" s="141"/>
      <c r="AD40" s="142"/>
      <c r="AE40" s="141"/>
      <c r="AF40" s="143"/>
      <c r="AG40" s="141" t="str">
        <f t="shared" si="2"/>
        <v/>
      </c>
    </row>
  </sheetData>
  <mergeCells count="185">
    <mergeCell ref="A24:B24"/>
    <mergeCell ref="C24:D24"/>
    <mergeCell ref="E24:F24"/>
    <mergeCell ref="G24:I24"/>
    <mergeCell ref="P24:Q24"/>
    <mergeCell ref="A27:B27"/>
    <mergeCell ref="C27:D27"/>
    <mergeCell ref="E27:F27"/>
    <mergeCell ref="G27:I27"/>
    <mergeCell ref="A26:B26"/>
    <mergeCell ref="C26:D26"/>
    <mergeCell ref="E26:F26"/>
    <mergeCell ref="G26:I26"/>
    <mergeCell ref="A23:B23"/>
    <mergeCell ref="C23:D23"/>
    <mergeCell ref="E23:F23"/>
    <mergeCell ref="G23:I23"/>
    <mergeCell ref="P23:Q23"/>
    <mergeCell ref="E28:F28"/>
    <mergeCell ref="Y26:Z26"/>
    <mergeCell ref="Y25:Z25"/>
    <mergeCell ref="Y27:Z27"/>
    <mergeCell ref="P27:Q27"/>
    <mergeCell ref="P28:Q28"/>
    <mergeCell ref="P25:Q25"/>
    <mergeCell ref="P26:Q26"/>
    <mergeCell ref="Y24:Z24"/>
    <mergeCell ref="A32:B32"/>
    <mergeCell ref="C32:D32"/>
    <mergeCell ref="E32:F32"/>
    <mergeCell ref="G32:I32"/>
    <mergeCell ref="P32:Q32"/>
    <mergeCell ref="A28:B28"/>
    <mergeCell ref="C28:D28"/>
    <mergeCell ref="A30:B30"/>
    <mergeCell ref="Y28:Z28"/>
    <mergeCell ref="A31:B31"/>
    <mergeCell ref="A29:B29"/>
    <mergeCell ref="C29:D29"/>
    <mergeCell ref="E29:F29"/>
    <mergeCell ref="G29:I29"/>
    <mergeCell ref="P29:Q29"/>
    <mergeCell ref="A35:B35"/>
    <mergeCell ref="C35:D35"/>
    <mergeCell ref="E35:F35"/>
    <mergeCell ref="G35:I35"/>
    <mergeCell ref="P35:Q35"/>
    <mergeCell ref="Y19:Z19"/>
    <mergeCell ref="C33:D33"/>
    <mergeCell ref="A38:B38"/>
    <mergeCell ref="C38:D38"/>
    <mergeCell ref="Y33:Z33"/>
    <mergeCell ref="A34:B34"/>
    <mergeCell ref="C34:D34"/>
    <mergeCell ref="E34:F34"/>
    <mergeCell ref="Y29:Z29"/>
    <mergeCell ref="G34:I34"/>
    <mergeCell ref="P34:Q34"/>
    <mergeCell ref="E36:F36"/>
    <mergeCell ref="G36:I36"/>
    <mergeCell ref="E38:F38"/>
    <mergeCell ref="G38:I38"/>
    <mergeCell ref="C31:D31"/>
    <mergeCell ref="A36:B36"/>
    <mergeCell ref="C36:D36"/>
    <mergeCell ref="P36:Q36"/>
    <mergeCell ref="Y36:Z36"/>
    <mergeCell ref="A13:B15"/>
    <mergeCell ref="C18:D18"/>
    <mergeCell ref="E18:F18"/>
    <mergeCell ref="G18:I18"/>
    <mergeCell ref="A17:B17"/>
    <mergeCell ref="C17:D17"/>
    <mergeCell ref="E17:F17"/>
    <mergeCell ref="G17:I17"/>
    <mergeCell ref="A16:B16"/>
    <mergeCell ref="C16:D16"/>
    <mergeCell ref="E16:F16"/>
    <mergeCell ref="G16:I16"/>
    <mergeCell ref="C30:D30"/>
    <mergeCell ref="P40:Q40"/>
    <mergeCell ref="P39:Q39"/>
    <mergeCell ref="Y31:Z31"/>
    <mergeCell ref="Y32:Z32"/>
    <mergeCell ref="E31:F31"/>
    <mergeCell ref="G31:I31"/>
    <mergeCell ref="P31:Q31"/>
    <mergeCell ref="Y35:Z35"/>
    <mergeCell ref="G28:I28"/>
    <mergeCell ref="Y38:Z38"/>
    <mergeCell ref="A40:B40"/>
    <mergeCell ref="C40:D40"/>
    <mergeCell ref="E40:F40"/>
    <mergeCell ref="G40:I40"/>
    <mergeCell ref="Y40:Z40"/>
    <mergeCell ref="E30:F30"/>
    <mergeCell ref="G30:I30"/>
    <mergeCell ref="P30:Q30"/>
    <mergeCell ref="Y30:Z30"/>
    <mergeCell ref="P38:Q38"/>
    <mergeCell ref="A37:B37"/>
    <mergeCell ref="C37:D37"/>
    <mergeCell ref="A39:B39"/>
    <mergeCell ref="C39:D39"/>
    <mergeCell ref="A33:B33"/>
    <mergeCell ref="Y37:Z37"/>
    <mergeCell ref="A21:B21"/>
    <mergeCell ref="C21:D21"/>
    <mergeCell ref="E21:F21"/>
    <mergeCell ref="G21:I21"/>
    <mergeCell ref="P21:Q21"/>
    <mergeCell ref="A22:B22"/>
    <mergeCell ref="C22:D22"/>
    <mergeCell ref="E22:F22"/>
    <mergeCell ref="G22:I22"/>
    <mergeCell ref="P22:Q22"/>
    <mergeCell ref="A25:B25"/>
    <mergeCell ref="C25:D25"/>
    <mergeCell ref="E25:F25"/>
    <mergeCell ref="G25:I25"/>
    <mergeCell ref="E37:F37"/>
    <mergeCell ref="G37:I37"/>
    <mergeCell ref="P37:Q37"/>
    <mergeCell ref="E33:F33"/>
    <mergeCell ref="Y39:Z39"/>
    <mergeCell ref="E39:F39"/>
    <mergeCell ref="G39:I39"/>
    <mergeCell ref="Y34:Z34"/>
    <mergeCell ref="G33:I33"/>
    <mergeCell ref="P33:Q33"/>
    <mergeCell ref="P14:Q15"/>
    <mergeCell ref="P19:Q19"/>
    <mergeCell ref="H3:K3"/>
    <mergeCell ref="M3:N3"/>
    <mergeCell ref="A20:B20"/>
    <mergeCell ref="G13:I15"/>
    <mergeCell ref="A18:B18"/>
    <mergeCell ref="A19:B19"/>
    <mergeCell ref="C19:D19"/>
    <mergeCell ref="E19:F19"/>
    <mergeCell ref="G19:I19"/>
    <mergeCell ref="Y23:Z23"/>
    <mergeCell ref="P13:R13"/>
    <mergeCell ref="C13:D15"/>
    <mergeCell ref="E13:F15"/>
    <mergeCell ref="Y18:Z18"/>
    <mergeCell ref="Y21:Z21"/>
    <mergeCell ref="Y22:Z22"/>
    <mergeCell ref="P16:Q16"/>
    <mergeCell ref="P17:Q17"/>
    <mergeCell ref="P18:Q18"/>
    <mergeCell ref="R14:R15"/>
    <mergeCell ref="P20:Q20"/>
    <mergeCell ref="Y20:Z20"/>
    <mergeCell ref="C20:D20"/>
    <mergeCell ref="E20:F20"/>
    <mergeCell ref="G20:I20"/>
    <mergeCell ref="Y16:Z16"/>
    <mergeCell ref="Y17:Z17"/>
    <mergeCell ref="O3:R3"/>
    <mergeCell ref="S3:U3"/>
    <mergeCell ref="C3:E3"/>
    <mergeCell ref="V3:Y3"/>
    <mergeCell ref="C5:Y5"/>
    <mergeCell ref="C7:Y7"/>
    <mergeCell ref="C4:E4"/>
    <mergeCell ref="S13:X13"/>
    <mergeCell ref="S14:S15"/>
    <mergeCell ref="T14:W14"/>
    <mergeCell ref="X14:X15"/>
    <mergeCell ref="J14:J15"/>
    <mergeCell ref="O14:O15"/>
    <mergeCell ref="K14:N14"/>
    <mergeCell ref="AB14:AB15"/>
    <mergeCell ref="AC14:AF14"/>
    <mergeCell ref="AG14:AG15"/>
    <mergeCell ref="Y13:AA13"/>
    <mergeCell ref="Y14:Z15"/>
    <mergeCell ref="AA14:AA15"/>
    <mergeCell ref="C6:Y6"/>
    <mergeCell ref="C9:Y9"/>
    <mergeCell ref="C10:Y10"/>
    <mergeCell ref="C11:Y11"/>
    <mergeCell ref="AB13:AG13"/>
    <mergeCell ref="J13:O13"/>
  </mergeCells>
  <conditionalFormatting sqref="O16:O40 X16:X40 AG16:AG40">
    <cfRule type="cellIs" dxfId="4" priority="57" operator="equal">
      <formula>"EX"</formula>
    </cfRule>
    <cfRule type="cellIs" dxfId="3" priority="58" operator="equal">
      <formula>"H"</formula>
    </cfRule>
    <cfRule type="cellIs" dxfId="2" priority="59" operator="equal">
      <formula>"M"</formula>
    </cfRule>
    <cfRule type="cellIs" dxfId="1" priority="60" operator="equal">
      <formula>"L"</formula>
    </cfRule>
    <cfRule type="cellIs" dxfId="0" priority="61" operator="equal">
      <formula>"VL"</formula>
    </cfRule>
  </conditionalFormatting>
  <dataValidations disablePrompts="1" count="2">
    <dataValidation type="list" errorStyle="information" allowBlank="1" showInputMessage="1" showErrorMessage="1" sqref="C16" xr:uid="{5D3B9056-0C17-4CF4-83FE-896BF3467AF1}">
      <formula1>INDIRECT($A$16)</formula1>
    </dataValidation>
    <dataValidation type="list" allowBlank="1" showInputMessage="1" showErrorMessage="1" sqref="A16:B40" xr:uid="{F79576EF-5A69-45F2-B703-47E23D921BCD}">
      <formula1>GW</formula1>
    </dataValidation>
  </dataValidations>
  <pageMargins left="9.375E-2" right="1.0416666666666666E-2" top="0.75" bottom="0.48958333333333331" header="0.3" footer="0.3"/>
  <pageSetup paperSize="9" scale="68" fitToWidth="0" orientation="landscape"/>
  <headerFooter>
    <oddHeader>&amp;C&amp;"Arial,Bold"&amp;16PTTGC HAZOP Worksheet</oddHeader>
  </headerFooter>
  <rowBreaks count="1" manualBreakCount="1">
    <brk id="40" max="1048575" man="1"/>
  </rowBreaks>
  <colBreaks count="1" manualBreakCount="1">
    <brk id="33" max="16383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Check Box 2">
              <controlPr defaultSize="0" autoFill="0" autoLine="0" autoPict="0">
                <anchor moveWithCells="1">
                  <from>
                    <xdr:col>17</xdr:col>
                    <xdr:colOff>160020</xdr:colOff>
                    <xdr:row>15</xdr:row>
                    <xdr:rowOff>22860</xdr:rowOff>
                  </from>
                  <to>
                    <xdr:col>17</xdr:col>
                    <xdr:colOff>457200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4" name="Check Box 3">
              <controlPr defaultSize="0" autoFill="0" autoLine="0" autoPict="0">
                <anchor moveWithCells="1">
                  <from>
                    <xdr:col>26</xdr:col>
                    <xdr:colOff>160020</xdr:colOff>
                    <xdr:row>15</xdr:row>
                    <xdr:rowOff>22860</xdr:rowOff>
                  </from>
                  <to>
                    <xdr:col>26</xdr:col>
                    <xdr:colOff>457200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Check Box 4">
              <controlPr defaultSize="0" autoFill="0" autoLine="0" autoPict="0">
                <anchor moveWithCells="1">
                  <from>
                    <xdr:col>17</xdr:col>
                    <xdr:colOff>160020</xdr:colOff>
                    <xdr:row>16</xdr:row>
                    <xdr:rowOff>22860</xdr:rowOff>
                  </from>
                  <to>
                    <xdr:col>17</xdr:col>
                    <xdr:colOff>457200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6" name="Check Box 5">
              <controlPr defaultSize="0" autoFill="0" autoLine="0" autoPict="0">
                <anchor moveWithCells="1">
                  <from>
                    <xdr:col>26</xdr:col>
                    <xdr:colOff>160020</xdr:colOff>
                    <xdr:row>16</xdr:row>
                    <xdr:rowOff>22860</xdr:rowOff>
                  </from>
                  <to>
                    <xdr:col>26</xdr:col>
                    <xdr:colOff>457200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Check Box 6">
              <controlPr defaultSize="0" autoFill="0" autoLine="0" autoPict="0">
                <anchor moveWithCells="1">
                  <from>
                    <xdr:col>17</xdr:col>
                    <xdr:colOff>160020</xdr:colOff>
                    <xdr:row>17</xdr:row>
                    <xdr:rowOff>22860</xdr:rowOff>
                  </from>
                  <to>
                    <xdr:col>17</xdr:col>
                    <xdr:colOff>457200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8" name="Check Box 7">
              <controlPr defaultSize="0" autoFill="0" autoLine="0" autoPict="0">
                <anchor moveWithCells="1">
                  <from>
                    <xdr:col>26</xdr:col>
                    <xdr:colOff>160020</xdr:colOff>
                    <xdr:row>17</xdr:row>
                    <xdr:rowOff>22860</xdr:rowOff>
                  </from>
                  <to>
                    <xdr:col>26</xdr:col>
                    <xdr:colOff>457200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9" name="Check Box 8">
              <controlPr defaultSize="0" autoFill="0" autoLine="0" autoPict="0">
                <anchor moveWithCells="1">
                  <from>
                    <xdr:col>17</xdr:col>
                    <xdr:colOff>160020</xdr:colOff>
                    <xdr:row>18</xdr:row>
                    <xdr:rowOff>22860</xdr:rowOff>
                  </from>
                  <to>
                    <xdr:col>17</xdr:col>
                    <xdr:colOff>457200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0" name="Check Box 9">
              <controlPr defaultSize="0" autoFill="0" autoLine="0" autoPict="0">
                <anchor moveWithCells="1">
                  <from>
                    <xdr:col>26</xdr:col>
                    <xdr:colOff>160020</xdr:colOff>
                    <xdr:row>18</xdr:row>
                    <xdr:rowOff>22860</xdr:rowOff>
                  </from>
                  <to>
                    <xdr:col>26</xdr:col>
                    <xdr:colOff>457200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1" name="Check Box 10">
              <controlPr defaultSize="0" autoFill="0" autoLine="0" autoPict="0">
                <anchor moveWithCells="1">
                  <from>
                    <xdr:col>17</xdr:col>
                    <xdr:colOff>160020</xdr:colOff>
                    <xdr:row>19</xdr:row>
                    <xdr:rowOff>22860</xdr:rowOff>
                  </from>
                  <to>
                    <xdr:col>17</xdr:col>
                    <xdr:colOff>457200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2" name="Check Box 11">
              <controlPr defaultSize="0" autoFill="0" autoLine="0" autoPict="0">
                <anchor moveWithCells="1">
                  <from>
                    <xdr:col>26</xdr:col>
                    <xdr:colOff>160020</xdr:colOff>
                    <xdr:row>19</xdr:row>
                    <xdr:rowOff>22860</xdr:rowOff>
                  </from>
                  <to>
                    <xdr:col>26</xdr:col>
                    <xdr:colOff>457200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3" name="Check Box 12">
              <controlPr defaultSize="0" autoFill="0" autoLine="0" autoPict="0">
                <anchor moveWithCells="1">
                  <from>
                    <xdr:col>17</xdr:col>
                    <xdr:colOff>160020</xdr:colOff>
                    <xdr:row>20</xdr:row>
                    <xdr:rowOff>22860</xdr:rowOff>
                  </from>
                  <to>
                    <xdr:col>17</xdr:col>
                    <xdr:colOff>457200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4" name="Check Box 13">
              <controlPr defaultSize="0" autoFill="0" autoLine="0" autoPict="0">
                <anchor moveWithCells="1">
                  <from>
                    <xdr:col>26</xdr:col>
                    <xdr:colOff>160020</xdr:colOff>
                    <xdr:row>20</xdr:row>
                    <xdr:rowOff>22860</xdr:rowOff>
                  </from>
                  <to>
                    <xdr:col>26</xdr:col>
                    <xdr:colOff>457200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5" name="Check Box 14">
              <controlPr defaultSize="0" autoFill="0" autoLine="0" autoPict="0">
                <anchor moveWithCells="1">
                  <from>
                    <xdr:col>17</xdr:col>
                    <xdr:colOff>160020</xdr:colOff>
                    <xdr:row>21</xdr:row>
                    <xdr:rowOff>22860</xdr:rowOff>
                  </from>
                  <to>
                    <xdr:col>17</xdr:col>
                    <xdr:colOff>457200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6" name="Check Box 15">
              <controlPr defaultSize="0" autoFill="0" autoLine="0" autoPict="0">
                <anchor moveWithCells="1">
                  <from>
                    <xdr:col>26</xdr:col>
                    <xdr:colOff>160020</xdr:colOff>
                    <xdr:row>21</xdr:row>
                    <xdr:rowOff>22860</xdr:rowOff>
                  </from>
                  <to>
                    <xdr:col>26</xdr:col>
                    <xdr:colOff>457200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7" name="Check Box 16">
              <controlPr defaultSize="0" autoFill="0" autoLine="0" autoPict="0">
                <anchor moveWithCells="1">
                  <from>
                    <xdr:col>17</xdr:col>
                    <xdr:colOff>160020</xdr:colOff>
                    <xdr:row>22</xdr:row>
                    <xdr:rowOff>22860</xdr:rowOff>
                  </from>
                  <to>
                    <xdr:col>17</xdr:col>
                    <xdr:colOff>457200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18" name="Check Box 17">
              <controlPr defaultSize="0" autoFill="0" autoLine="0" autoPict="0">
                <anchor moveWithCells="1">
                  <from>
                    <xdr:col>26</xdr:col>
                    <xdr:colOff>160020</xdr:colOff>
                    <xdr:row>22</xdr:row>
                    <xdr:rowOff>22860</xdr:rowOff>
                  </from>
                  <to>
                    <xdr:col>26</xdr:col>
                    <xdr:colOff>457200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19" name="Check Box 18">
              <controlPr defaultSize="0" autoFill="0" autoLine="0" autoPict="0">
                <anchor moveWithCells="1">
                  <from>
                    <xdr:col>17</xdr:col>
                    <xdr:colOff>160020</xdr:colOff>
                    <xdr:row>23</xdr:row>
                    <xdr:rowOff>22860</xdr:rowOff>
                  </from>
                  <to>
                    <xdr:col>17</xdr:col>
                    <xdr:colOff>457200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0" name="Check Box 19">
              <controlPr defaultSize="0" autoFill="0" autoLine="0" autoPict="0">
                <anchor moveWithCells="1">
                  <from>
                    <xdr:col>26</xdr:col>
                    <xdr:colOff>160020</xdr:colOff>
                    <xdr:row>23</xdr:row>
                    <xdr:rowOff>22860</xdr:rowOff>
                  </from>
                  <to>
                    <xdr:col>26</xdr:col>
                    <xdr:colOff>457200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1" name="Check Box 20">
              <controlPr defaultSize="0" autoFill="0" autoLine="0" autoPict="0">
                <anchor moveWithCells="1">
                  <from>
                    <xdr:col>17</xdr:col>
                    <xdr:colOff>160020</xdr:colOff>
                    <xdr:row>24</xdr:row>
                    <xdr:rowOff>22860</xdr:rowOff>
                  </from>
                  <to>
                    <xdr:col>17</xdr:col>
                    <xdr:colOff>457200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2" name="Check Box 21">
              <controlPr defaultSize="0" autoFill="0" autoLine="0" autoPict="0">
                <anchor moveWithCells="1">
                  <from>
                    <xdr:col>26</xdr:col>
                    <xdr:colOff>160020</xdr:colOff>
                    <xdr:row>24</xdr:row>
                    <xdr:rowOff>22860</xdr:rowOff>
                  </from>
                  <to>
                    <xdr:col>26</xdr:col>
                    <xdr:colOff>457200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3" name="Check Box 22">
              <controlPr defaultSize="0" autoFill="0" autoLine="0" autoPict="0">
                <anchor moveWithCells="1">
                  <from>
                    <xdr:col>17</xdr:col>
                    <xdr:colOff>160020</xdr:colOff>
                    <xdr:row>25</xdr:row>
                    <xdr:rowOff>22860</xdr:rowOff>
                  </from>
                  <to>
                    <xdr:col>17</xdr:col>
                    <xdr:colOff>457200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4" name="Check Box 23">
              <controlPr defaultSize="0" autoFill="0" autoLine="0" autoPict="0">
                <anchor moveWithCells="1">
                  <from>
                    <xdr:col>26</xdr:col>
                    <xdr:colOff>160020</xdr:colOff>
                    <xdr:row>25</xdr:row>
                    <xdr:rowOff>22860</xdr:rowOff>
                  </from>
                  <to>
                    <xdr:col>26</xdr:col>
                    <xdr:colOff>457200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5" name="Check Box 24">
              <controlPr defaultSize="0" autoFill="0" autoLine="0" autoPict="0">
                <anchor moveWithCells="1">
                  <from>
                    <xdr:col>17</xdr:col>
                    <xdr:colOff>160020</xdr:colOff>
                    <xdr:row>26</xdr:row>
                    <xdr:rowOff>22860</xdr:rowOff>
                  </from>
                  <to>
                    <xdr:col>17</xdr:col>
                    <xdr:colOff>457200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6" name="Check Box 25">
              <controlPr defaultSize="0" autoFill="0" autoLine="0" autoPict="0">
                <anchor moveWithCells="1">
                  <from>
                    <xdr:col>26</xdr:col>
                    <xdr:colOff>160020</xdr:colOff>
                    <xdr:row>26</xdr:row>
                    <xdr:rowOff>22860</xdr:rowOff>
                  </from>
                  <to>
                    <xdr:col>26</xdr:col>
                    <xdr:colOff>457200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7" name="Check Box 26">
              <controlPr defaultSize="0" autoFill="0" autoLine="0" autoPict="0">
                <anchor moveWithCells="1">
                  <from>
                    <xdr:col>17</xdr:col>
                    <xdr:colOff>160020</xdr:colOff>
                    <xdr:row>27</xdr:row>
                    <xdr:rowOff>22860</xdr:rowOff>
                  </from>
                  <to>
                    <xdr:col>17</xdr:col>
                    <xdr:colOff>457200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28" name="Check Box 27">
              <controlPr defaultSize="0" autoFill="0" autoLine="0" autoPict="0">
                <anchor moveWithCells="1">
                  <from>
                    <xdr:col>26</xdr:col>
                    <xdr:colOff>160020</xdr:colOff>
                    <xdr:row>27</xdr:row>
                    <xdr:rowOff>22860</xdr:rowOff>
                  </from>
                  <to>
                    <xdr:col>26</xdr:col>
                    <xdr:colOff>457200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29" name="Check Box 28">
              <controlPr defaultSize="0" autoFill="0" autoLine="0" autoPict="0">
                <anchor moveWithCells="1">
                  <from>
                    <xdr:col>17</xdr:col>
                    <xdr:colOff>160020</xdr:colOff>
                    <xdr:row>28</xdr:row>
                    <xdr:rowOff>22860</xdr:rowOff>
                  </from>
                  <to>
                    <xdr:col>17</xdr:col>
                    <xdr:colOff>457200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0" name="Check Box 29">
              <controlPr defaultSize="0" autoFill="0" autoLine="0" autoPict="0">
                <anchor moveWithCells="1">
                  <from>
                    <xdr:col>26</xdr:col>
                    <xdr:colOff>160020</xdr:colOff>
                    <xdr:row>28</xdr:row>
                    <xdr:rowOff>22860</xdr:rowOff>
                  </from>
                  <to>
                    <xdr:col>26</xdr:col>
                    <xdr:colOff>457200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1" name="Check Box 30">
              <controlPr defaultSize="0" autoFill="0" autoLine="0" autoPict="0">
                <anchor moveWithCells="1">
                  <from>
                    <xdr:col>17</xdr:col>
                    <xdr:colOff>160020</xdr:colOff>
                    <xdr:row>29</xdr:row>
                    <xdr:rowOff>22860</xdr:rowOff>
                  </from>
                  <to>
                    <xdr:col>17</xdr:col>
                    <xdr:colOff>457200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2" name="Check Box 31">
              <controlPr defaultSize="0" autoFill="0" autoLine="0" autoPict="0">
                <anchor moveWithCells="1">
                  <from>
                    <xdr:col>26</xdr:col>
                    <xdr:colOff>160020</xdr:colOff>
                    <xdr:row>29</xdr:row>
                    <xdr:rowOff>22860</xdr:rowOff>
                  </from>
                  <to>
                    <xdr:col>26</xdr:col>
                    <xdr:colOff>457200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3" name="Check Box 32">
              <controlPr defaultSize="0" autoFill="0" autoLine="0" autoPict="0">
                <anchor moveWithCells="1">
                  <from>
                    <xdr:col>17</xdr:col>
                    <xdr:colOff>160020</xdr:colOff>
                    <xdr:row>30</xdr:row>
                    <xdr:rowOff>22860</xdr:rowOff>
                  </from>
                  <to>
                    <xdr:col>17</xdr:col>
                    <xdr:colOff>457200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4" name="Check Box 33">
              <controlPr defaultSize="0" autoFill="0" autoLine="0" autoPict="0">
                <anchor moveWithCells="1">
                  <from>
                    <xdr:col>26</xdr:col>
                    <xdr:colOff>160020</xdr:colOff>
                    <xdr:row>30</xdr:row>
                    <xdr:rowOff>22860</xdr:rowOff>
                  </from>
                  <to>
                    <xdr:col>26</xdr:col>
                    <xdr:colOff>457200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5" name="Check Box 34">
              <controlPr defaultSize="0" autoFill="0" autoLine="0" autoPict="0">
                <anchor moveWithCells="1">
                  <from>
                    <xdr:col>17</xdr:col>
                    <xdr:colOff>160020</xdr:colOff>
                    <xdr:row>31</xdr:row>
                    <xdr:rowOff>22860</xdr:rowOff>
                  </from>
                  <to>
                    <xdr:col>17</xdr:col>
                    <xdr:colOff>457200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6" name="Check Box 35">
              <controlPr defaultSize="0" autoFill="0" autoLine="0" autoPict="0">
                <anchor moveWithCells="1">
                  <from>
                    <xdr:col>26</xdr:col>
                    <xdr:colOff>160020</xdr:colOff>
                    <xdr:row>31</xdr:row>
                    <xdr:rowOff>22860</xdr:rowOff>
                  </from>
                  <to>
                    <xdr:col>26</xdr:col>
                    <xdr:colOff>457200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7" name="Check Box 36">
              <controlPr defaultSize="0" autoFill="0" autoLine="0" autoPict="0">
                <anchor moveWithCells="1">
                  <from>
                    <xdr:col>17</xdr:col>
                    <xdr:colOff>160020</xdr:colOff>
                    <xdr:row>32</xdr:row>
                    <xdr:rowOff>22860</xdr:rowOff>
                  </from>
                  <to>
                    <xdr:col>17</xdr:col>
                    <xdr:colOff>457200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5" r:id="rId38" name="Check Box 37">
              <controlPr defaultSize="0" autoFill="0" autoLine="0" autoPict="0">
                <anchor moveWithCells="1">
                  <from>
                    <xdr:col>26</xdr:col>
                    <xdr:colOff>160020</xdr:colOff>
                    <xdr:row>32</xdr:row>
                    <xdr:rowOff>22860</xdr:rowOff>
                  </from>
                  <to>
                    <xdr:col>26</xdr:col>
                    <xdr:colOff>457200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6" r:id="rId39" name="Check Box 38">
              <controlPr defaultSize="0" autoFill="0" autoLine="0" autoPict="0">
                <anchor moveWithCells="1">
                  <from>
                    <xdr:col>17</xdr:col>
                    <xdr:colOff>160020</xdr:colOff>
                    <xdr:row>33</xdr:row>
                    <xdr:rowOff>22860</xdr:rowOff>
                  </from>
                  <to>
                    <xdr:col>17</xdr:col>
                    <xdr:colOff>457200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7" r:id="rId40" name="Check Box 39">
              <controlPr defaultSize="0" autoFill="0" autoLine="0" autoPict="0">
                <anchor moveWithCells="1">
                  <from>
                    <xdr:col>26</xdr:col>
                    <xdr:colOff>160020</xdr:colOff>
                    <xdr:row>33</xdr:row>
                    <xdr:rowOff>22860</xdr:rowOff>
                  </from>
                  <to>
                    <xdr:col>26</xdr:col>
                    <xdr:colOff>457200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8" r:id="rId41" name="Check Box 40">
              <controlPr defaultSize="0" autoFill="0" autoLine="0" autoPict="0">
                <anchor moveWithCells="1">
                  <from>
                    <xdr:col>17</xdr:col>
                    <xdr:colOff>160020</xdr:colOff>
                    <xdr:row>34</xdr:row>
                    <xdr:rowOff>22860</xdr:rowOff>
                  </from>
                  <to>
                    <xdr:col>17</xdr:col>
                    <xdr:colOff>457200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9" r:id="rId42" name="Check Box 41">
              <controlPr defaultSize="0" autoFill="0" autoLine="0" autoPict="0">
                <anchor moveWithCells="1">
                  <from>
                    <xdr:col>26</xdr:col>
                    <xdr:colOff>160020</xdr:colOff>
                    <xdr:row>34</xdr:row>
                    <xdr:rowOff>22860</xdr:rowOff>
                  </from>
                  <to>
                    <xdr:col>26</xdr:col>
                    <xdr:colOff>457200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0" r:id="rId43" name="Check Box 42">
              <controlPr defaultSize="0" autoFill="0" autoLine="0" autoPict="0">
                <anchor moveWithCells="1">
                  <from>
                    <xdr:col>17</xdr:col>
                    <xdr:colOff>160020</xdr:colOff>
                    <xdr:row>35</xdr:row>
                    <xdr:rowOff>22860</xdr:rowOff>
                  </from>
                  <to>
                    <xdr:col>17</xdr:col>
                    <xdr:colOff>457200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1" r:id="rId44" name="Check Box 43">
              <controlPr defaultSize="0" autoFill="0" autoLine="0" autoPict="0">
                <anchor moveWithCells="1">
                  <from>
                    <xdr:col>26</xdr:col>
                    <xdr:colOff>160020</xdr:colOff>
                    <xdr:row>35</xdr:row>
                    <xdr:rowOff>22860</xdr:rowOff>
                  </from>
                  <to>
                    <xdr:col>26</xdr:col>
                    <xdr:colOff>457200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2" r:id="rId45" name="Check Box 44">
              <controlPr defaultSize="0" autoFill="0" autoLine="0" autoPict="0">
                <anchor moveWithCells="1">
                  <from>
                    <xdr:col>17</xdr:col>
                    <xdr:colOff>160020</xdr:colOff>
                    <xdr:row>36</xdr:row>
                    <xdr:rowOff>22860</xdr:rowOff>
                  </from>
                  <to>
                    <xdr:col>17</xdr:col>
                    <xdr:colOff>457200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3" r:id="rId46" name="Check Box 45">
              <controlPr defaultSize="0" autoFill="0" autoLine="0" autoPict="0">
                <anchor moveWithCells="1">
                  <from>
                    <xdr:col>26</xdr:col>
                    <xdr:colOff>160020</xdr:colOff>
                    <xdr:row>36</xdr:row>
                    <xdr:rowOff>22860</xdr:rowOff>
                  </from>
                  <to>
                    <xdr:col>26</xdr:col>
                    <xdr:colOff>457200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4" r:id="rId47" name="Check Box 46">
              <controlPr defaultSize="0" autoFill="0" autoLine="0" autoPict="0">
                <anchor moveWithCells="1">
                  <from>
                    <xdr:col>17</xdr:col>
                    <xdr:colOff>160020</xdr:colOff>
                    <xdr:row>37</xdr:row>
                    <xdr:rowOff>22860</xdr:rowOff>
                  </from>
                  <to>
                    <xdr:col>17</xdr:col>
                    <xdr:colOff>457200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5" r:id="rId48" name="Check Box 47">
              <controlPr defaultSize="0" autoFill="0" autoLine="0" autoPict="0">
                <anchor moveWithCells="1">
                  <from>
                    <xdr:col>26</xdr:col>
                    <xdr:colOff>160020</xdr:colOff>
                    <xdr:row>37</xdr:row>
                    <xdr:rowOff>22860</xdr:rowOff>
                  </from>
                  <to>
                    <xdr:col>26</xdr:col>
                    <xdr:colOff>457200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6" r:id="rId49" name="Check Box 48">
              <controlPr defaultSize="0" autoFill="0" autoLine="0" autoPict="0">
                <anchor moveWithCells="1">
                  <from>
                    <xdr:col>17</xdr:col>
                    <xdr:colOff>160020</xdr:colOff>
                    <xdr:row>38</xdr:row>
                    <xdr:rowOff>22860</xdr:rowOff>
                  </from>
                  <to>
                    <xdr:col>17</xdr:col>
                    <xdr:colOff>457200</xdr:colOff>
                    <xdr:row>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7" r:id="rId50" name="Check Box 49">
              <controlPr defaultSize="0" autoFill="0" autoLine="0" autoPict="0">
                <anchor moveWithCells="1">
                  <from>
                    <xdr:col>26</xdr:col>
                    <xdr:colOff>160020</xdr:colOff>
                    <xdr:row>38</xdr:row>
                    <xdr:rowOff>22860</xdr:rowOff>
                  </from>
                  <to>
                    <xdr:col>26</xdr:col>
                    <xdr:colOff>457200</xdr:colOff>
                    <xdr:row>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8" r:id="rId51" name="Check Box 50">
              <controlPr defaultSize="0" autoFill="0" autoLine="0" autoPict="0">
                <anchor moveWithCells="1">
                  <from>
                    <xdr:col>17</xdr:col>
                    <xdr:colOff>160020</xdr:colOff>
                    <xdr:row>39</xdr:row>
                    <xdr:rowOff>22860</xdr:rowOff>
                  </from>
                  <to>
                    <xdr:col>17</xdr:col>
                    <xdr:colOff>457200</xdr:colOff>
                    <xdr:row>39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9" r:id="rId52" name="Check Box 51">
              <controlPr defaultSize="0" autoFill="0" autoLine="0" autoPict="0">
                <anchor moveWithCells="1">
                  <from>
                    <xdr:col>26</xdr:col>
                    <xdr:colOff>160020</xdr:colOff>
                    <xdr:row>39</xdr:row>
                    <xdr:rowOff>22860</xdr:rowOff>
                  </from>
                  <to>
                    <xdr:col>26</xdr:col>
                    <xdr:colOff>457200</xdr:colOff>
                    <xdr:row>39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Y28"/>
  <sheetViews>
    <sheetView showGridLines="0" zoomScaleNormal="100" workbookViewId="0">
      <selection activeCell="V23" sqref="V23"/>
    </sheetView>
  </sheetViews>
  <sheetFormatPr defaultColWidth="11.33203125" defaultRowHeight="14.4"/>
  <cols>
    <col min="1" max="13" width="7.88671875" customWidth="1"/>
    <col min="14" max="14" width="8.6640625" customWidth="1"/>
    <col min="15" max="18" width="7.88671875" customWidth="1"/>
    <col min="19" max="102" width="9.88671875" customWidth="1"/>
  </cols>
  <sheetData>
    <row r="1" spans="1:25" ht="19.350000000000001" customHeight="1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U1" s="3"/>
      <c r="V1" s="3"/>
      <c r="W1" s="3"/>
      <c r="X1" s="3"/>
      <c r="Y1" s="3"/>
    </row>
    <row r="2" spans="1:25" ht="19.350000000000001" customHeight="1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U2" s="3"/>
      <c r="V2" s="3"/>
      <c r="W2" s="3"/>
      <c r="X2" s="3"/>
      <c r="Y2" s="3"/>
    </row>
    <row r="3" spans="1:25" ht="19.350000000000001" customHeight="1">
      <c r="A3" s="8"/>
      <c r="B3" s="9" t="s">
        <v>0</v>
      </c>
      <c r="C3" s="191"/>
      <c r="D3" s="191"/>
      <c r="E3" s="191"/>
      <c r="F3" s="8"/>
      <c r="G3" s="9" t="s">
        <v>1</v>
      </c>
      <c r="H3" s="191"/>
      <c r="I3" s="191"/>
      <c r="J3" s="191"/>
      <c r="K3" s="9" t="s">
        <v>2</v>
      </c>
      <c r="L3" s="191"/>
      <c r="M3" s="191"/>
      <c r="N3" s="191"/>
      <c r="O3" s="8"/>
      <c r="P3" s="9" t="s">
        <v>3</v>
      </c>
      <c r="Q3" s="228"/>
      <c r="R3" s="228"/>
      <c r="U3" s="3"/>
      <c r="V3" s="3"/>
      <c r="W3" s="3"/>
      <c r="X3" s="3"/>
      <c r="Y3" s="3"/>
    </row>
    <row r="4" spans="1:25" ht="19.350000000000001" customHeight="1">
      <c r="A4" s="8"/>
      <c r="B4" s="9" t="s">
        <v>4</v>
      </c>
      <c r="C4" s="11"/>
      <c r="D4" s="12"/>
      <c r="E4" s="12"/>
      <c r="F4" s="13"/>
      <c r="G4" s="13"/>
      <c r="H4" s="5"/>
      <c r="I4" s="14"/>
      <c r="J4" s="14"/>
      <c r="K4" s="5"/>
      <c r="L4" s="5"/>
      <c r="M4" s="6"/>
      <c r="N4" s="6"/>
      <c r="O4" s="6"/>
      <c r="P4" s="6"/>
      <c r="Q4" s="6"/>
      <c r="R4" s="6"/>
      <c r="U4" s="3"/>
      <c r="V4" s="3"/>
      <c r="W4" s="3"/>
      <c r="X4" s="3"/>
      <c r="Y4" s="3"/>
    </row>
    <row r="5" spans="1:25" ht="19.350000000000001" customHeight="1">
      <c r="A5" s="8"/>
      <c r="B5" s="9" t="s">
        <v>5</v>
      </c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72"/>
      <c r="U5" s="3"/>
      <c r="V5" s="3"/>
      <c r="W5" s="3"/>
      <c r="X5" s="3"/>
      <c r="Y5" s="3"/>
    </row>
    <row r="6" spans="1:25" ht="19.350000000000001" customHeight="1">
      <c r="A6" s="8"/>
      <c r="B6" s="15" t="s">
        <v>6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U6" s="3"/>
      <c r="V6" s="3"/>
      <c r="W6" s="3"/>
      <c r="X6" s="3"/>
      <c r="Y6" s="3"/>
    </row>
    <row r="7" spans="1:25" ht="19.350000000000001" customHeight="1">
      <c r="A7" s="8"/>
      <c r="B7" s="9" t="s">
        <v>7</v>
      </c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</row>
    <row r="8" spans="1:25" ht="19.350000000000001" customHeight="1">
      <c r="A8" s="8"/>
      <c r="B8" s="15" t="s">
        <v>8</v>
      </c>
      <c r="C8" s="6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6"/>
      <c r="Q8" s="6"/>
      <c r="R8" s="6"/>
    </row>
    <row r="9" spans="1:25" ht="19.350000000000001" customHeight="1">
      <c r="A9" s="8"/>
      <c r="B9" s="16" t="s">
        <v>9</v>
      </c>
      <c r="C9" s="172"/>
      <c r="D9" s="172"/>
      <c r="E9" s="172"/>
      <c r="F9" s="172"/>
      <c r="G9" s="172"/>
      <c r="H9" s="6"/>
      <c r="I9" s="6"/>
      <c r="J9" s="6"/>
      <c r="K9" s="6"/>
      <c r="L9" s="6"/>
      <c r="M9" s="6"/>
      <c r="N9" s="6"/>
      <c r="O9" s="6"/>
      <c r="P9" s="9"/>
      <c r="Q9" s="6"/>
      <c r="R9" s="6"/>
    </row>
    <row r="10" spans="1:25" ht="19.350000000000001" customHeight="1">
      <c r="A10" s="8"/>
      <c r="B10" s="17"/>
      <c r="C10" s="227"/>
      <c r="D10" s="227"/>
      <c r="E10" s="227"/>
      <c r="F10" s="227"/>
      <c r="G10" s="22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</row>
    <row r="11" spans="1:25" ht="19.350000000000001" customHeight="1">
      <c r="A11" s="8"/>
      <c r="B11" s="17"/>
      <c r="C11" s="227"/>
      <c r="D11" s="227"/>
      <c r="E11" s="227"/>
      <c r="F11" s="227"/>
      <c r="G11" s="22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</row>
    <row r="12" spans="1:25" ht="19.350000000000001" customHeight="1">
      <c r="A12" s="8"/>
      <c r="B12" s="6"/>
      <c r="C12" s="6"/>
      <c r="D12" s="1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</row>
    <row r="13" spans="1:25" ht="19.350000000000001" customHeight="1">
      <c r="A13" s="216" t="s">
        <v>10</v>
      </c>
      <c r="B13" s="217"/>
      <c r="C13" s="224" t="s">
        <v>11</v>
      </c>
      <c r="D13" s="225"/>
      <c r="E13" s="224" t="s">
        <v>12</v>
      </c>
      <c r="F13" s="225"/>
      <c r="G13" s="224" t="s">
        <v>13</v>
      </c>
      <c r="H13" s="226"/>
      <c r="I13" s="225"/>
      <c r="J13" s="224" t="s">
        <v>14</v>
      </c>
      <c r="K13" s="226"/>
      <c r="L13" s="225"/>
      <c r="M13" s="18" t="s">
        <v>15</v>
      </c>
      <c r="N13" s="18" t="s">
        <v>16</v>
      </c>
      <c r="O13" s="19" t="s">
        <v>17</v>
      </c>
      <c r="P13" s="224" t="s">
        <v>18</v>
      </c>
      <c r="Q13" s="225"/>
      <c r="R13" s="19" t="s">
        <v>19</v>
      </c>
    </row>
    <row r="14" spans="1:25" ht="19.350000000000001" customHeight="1">
      <c r="A14" s="218"/>
      <c r="B14" s="219"/>
      <c r="C14" s="220" t="s">
        <v>20</v>
      </c>
      <c r="D14" s="221"/>
      <c r="E14" s="220" t="s">
        <v>21</v>
      </c>
      <c r="F14" s="221"/>
      <c r="G14" s="220" t="s">
        <v>22</v>
      </c>
      <c r="H14" s="222"/>
      <c r="I14" s="221"/>
      <c r="J14" s="220" t="s">
        <v>23</v>
      </c>
      <c r="K14" s="222"/>
      <c r="L14" s="221"/>
      <c r="M14" s="20" t="s">
        <v>24</v>
      </c>
      <c r="N14" s="20" t="s">
        <v>25</v>
      </c>
      <c r="O14" s="21" t="s">
        <v>26</v>
      </c>
      <c r="P14" s="220" t="s">
        <v>27</v>
      </c>
      <c r="Q14" s="221"/>
      <c r="R14" s="21" t="s">
        <v>28</v>
      </c>
    </row>
    <row r="15" spans="1:25" ht="19.350000000000001" customHeight="1">
      <c r="A15" s="208"/>
      <c r="B15" s="209"/>
      <c r="C15" s="208"/>
      <c r="D15" s="210"/>
      <c r="E15" s="223"/>
      <c r="F15" s="223"/>
      <c r="G15" s="223"/>
      <c r="H15" s="223"/>
      <c r="I15" s="223"/>
      <c r="J15" s="223"/>
      <c r="K15" s="223"/>
      <c r="L15" s="208"/>
      <c r="M15" s="23"/>
      <c r="N15" s="23"/>
      <c r="O15" s="24" t="str">
        <f t="shared" ref="O15:O26" si="0">IF(AND(M15&lt;&gt;"",M15&gt;0,N15&lt;&gt;"",N15&gt;0),INDEX(RiskRankMatrixw,M15,N15),"")</f>
        <v/>
      </c>
      <c r="P15" s="208"/>
      <c r="Q15" s="209"/>
      <c r="R15" s="22"/>
    </row>
    <row r="16" spans="1:25" ht="19.350000000000001" customHeight="1">
      <c r="A16" s="197"/>
      <c r="B16" s="198"/>
      <c r="C16" s="197"/>
      <c r="D16" s="198"/>
      <c r="E16" s="197"/>
      <c r="F16" s="198"/>
      <c r="G16" s="207"/>
      <c r="H16" s="207"/>
      <c r="I16" s="207"/>
      <c r="J16" s="207"/>
      <c r="K16" s="207"/>
      <c r="L16" s="207"/>
      <c r="M16" s="27"/>
      <c r="N16" s="27"/>
      <c r="O16" s="28" t="str">
        <f t="shared" si="0"/>
        <v/>
      </c>
      <c r="P16" s="197"/>
      <c r="Q16" s="198"/>
      <c r="R16" s="26"/>
    </row>
    <row r="17" spans="1:18" ht="19.350000000000001" customHeight="1">
      <c r="A17" s="197"/>
      <c r="B17" s="198"/>
      <c r="C17" s="197"/>
      <c r="D17" s="198"/>
      <c r="E17" s="197"/>
      <c r="F17" s="198"/>
      <c r="G17" s="207"/>
      <c r="H17" s="207"/>
      <c r="I17" s="207"/>
      <c r="J17" s="207"/>
      <c r="K17" s="207"/>
      <c r="L17" s="207"/>
      <c r="M17" s="27"/>
      <c r="N17" s="27"/>
      <c r="O17" s="28" t="str">
        <f t="shared" si="0"/>
        <v/>
      </c>
      <c r="P17" s="197"/>
      <c r="Q17" s="198"/>
      <c r="R17" s="26"/>
    </row>
    <row r="18" spans="1:18" ht="19.350000000000001" customHeight="1">
      <c r="A18" s="197"/>
      <c r="B18" s="198"/>
      <c r="C18" s="197"/>
      <c r="D18" s="198"/>
      <c r="E18" s="197"/>
      <c r="F18" s="198"/>
      <c r="G18" s="207"/>
      <c r="H18" s="207"/>
      <c r="I18" s="207"/>
      <c r="J18" s="207"/>
      <c r="K18" s="207"/>
      <c r="L18" s="207"/>
      <c r="M18" s="27"/>
      <c r="N18" s="27"/>
      <c r="O18" s="28" t="str">
        <f t="shared" si="0"/>
        <v/>
      </c>
      <c r="P18" s="197"/>
      <c r="Q18" s="198"/>
      <c r="R18" s="26"/>
    </row>
    <row r="19" spans="1:18" ht="19.350000000000001" customHeight="1">
      <c r="A19" s="197"/>
      <c r="B19" s="198"/>
      <c r="C19" s="197"/>
      <c r="D19" s="198"/>
      <c r="E19" s="197"/>
      <c r="F19" s="198"/>
      <c r="G19" s="207"/>
      <c r="H19" s="207"/>
      <c r="I19" s="207"/>
      <c r="J19" s="207"/>
      <c r="K19" s="207"/>
      <c r="L19" s="207"/>
      <c r="M19" s="27"/>
      <c r="N19" s="27"/>
      <c r="O19" s="28" t="str">
        <f t="shared" si="0"/>
        <v/>
      </c>
      <c r="P19" s="197"/>
      <c r="Q19" s="198"/>
      <c r="R19" s="26"/>
    </row>
    <row r="20" spans="1:18" ht="19.350000000000001" customHeight="1">
      <c r="A20" s="197"/>
      <c r="B20" s="198"/>
      <c r="C20" s="197"/>
      <c r="D20" s="198"/>
      <c r="E20" s="197"/>
      <c r="F20" s="198"/>
      <c r="G20" s="207"/>
      <c r="H20" s="207"/>
      <c r="I20" s="207"/>
      <c r="J20" s="207"/>
      <c r="K20" s="207"/>
      <c r="L20" s="207"/>
      <c r="M20" s="27"/>
      <c r="N20" s="27"/>
      <c r="O20" s="28" t="str">
        <f t="shared" si="0"/>
        <v/>
      </c>
      <c r="P20" s="197"/>
      <c r="Q20" s="198"/>
      <c r="R20" s="26"/>
    </row>
    <row r="21" spans="1:18" ht="19.350000000000001" customHeight="1">
      <c r="A21" s="197"/>
      <c r="B21" s="198"/>
      <c r="C21" s="197"/>
      <c r="D21" s="198"/>
      <c r="E21" s="197"/>
      <c r="F21" s="198"/>
      <c r="G21" s="207"/>
      <c r="H21" s="207"/>
      <c r="I21" s="207"/>
      <c r="J21" s="207"/>
      <c r="K21" s="207"/>
      <c r="L21" s="207"/>
      <c r="M21" s="27"/>
      <c r="N21" s="27"/>
      <c r="O21" s="28" t="str">
        <f t="shared" si="0"/>
        <v/>
      </c>
      <c r="P21" s="197"/>
      <c r="Q21" s="198"/>
      <c r="R21" s="26"/>
    </row>
    <row r="22" spans="1:18" ht="19.350000000000001" customHeight="1">
      <c r="A22" s="197"/>
      <c r="B22" s="198"/>
      <c r="C22" s="197"/>
      <c r="D22" s="198"/>
      <c r="E22" s="207"/>
      <c r="F22" s="207"/>
      <c r="G22" s="207"/>
      <c r="H22" s="207"/>
      <c r="I22" s="207"/>
      <c r="J22" s="207"/>
      <c r="K22" s="207"/>
      <c r="L22" s="207"/>
      <c r="M22" s="27"/>
      <c r="N22" s="27"/>
      <c r="O22" s="28" t="str">
        <f t="shared" si="0"/>
        <v/>
      </c>
      <c r="P22" s="197"/>
      <c r="Q22" s="198"/>
      <c r="R22" s="26"/>
    </row>
    <row r="23" spans="1:18" ht="19.350000000000001" customHeight="1">
      <c r="A23" s="197"/>
      <c r="B23" s="198"/>
      <c r="C23" s="207"/>
      <c r="D23" s="197"/>
      <c r="E23" s="207"/>
      <c r="F23" s="207"/>
      <c r="G23" s="207"/>
      <c r="H23" s="207"/>
      <c r="I23" s="207"/>
      <c r="J23" s="207"/>
      <c r="K23" s="207"/>
      <c r="L23" s="207"/>
      <c r="M23" s="27"/>
      <c r="N23" s="27"/>
      <c r="O23" s="28" t="str">
        <f t="shared" si="0"/>
        <v/>
      </c>
      <c r="P23" s="197"/>
      <c r="Q23" s="198"/>
      <c r="R23" s="25"/>
    </row>
    <row r="24" spans="1:18" ht="19.350000000000001" customHeight="1">
      <c r="A24" s="197"/>
      <c r="B24" s="198"/>
      <c r="C24" s="197"/>
      <c r="D24" s="198"/>
      <c r="E24" s="207"/>
      <c r="F24" s="207"/>
      <c r="G24" s="207"/>
      <c r="H24" s="207"/>
      <c r="I24" s="207"/>
      <c r="J24" s="207"/>
      <c r="K24" s="207"/>
      <c r="L24" s="197"/>
      <c r="M24" s="27"/>
      <c r="N24" s="27"/>
      <c r="O24" s="28" t="str">
        <f t="shared" si="0"/>
        <v/>
      </c>
      <c r="P24" s="197"/>
      <c r="Q24" s="198"/>
      <c r="R24" s="26"/>
    </row>
    <row r="25" spans="1:18" ht="19.350000000000001" customHeight="1">
      <c r="A25" s="197"/>
      <c r="B25" s="198"/>
      <c r="C25" s="197"/>
      <c r="D25" s="198"/>
      <c r="E25" s="207"/>
      <c r="F25" s="207"/>
      <c r="G25" s="207"/>
      <c r="H25" s="207"/>
      <c r="I25" s="207"/>
      <c r="J25" s="207"/>
      <c r="K25" s="207"/>
      <c r="L25" s="197"/>
      <c r="M25" s="27"/>
      <c r="N25" s="27"/>
      <c r="O25" s="28" t="str">
        <f t="shared" si="0"/>
        <v/>
      </c>
      <c r="P25" s="197"/>
      <c r="Q25" s="198"/>
      <c r="R25" s="26"/>
    </row>
    <row r="26" spans="1:18" ht="19.350000000000001" customHeight="1">
      <c r="A26" s="197"/>
      <c r="B26" s="198"/>
      <c r="C26" s="197"/>
      <c r="D26" s="198"/>
      <c r="E26" s="207"/>
      <c r="F26" s="207"/>
      <c r="G26" s="207"/>
      <c r="H26" s="207"/>
      <c r="I26" s="207"/>
      <c r="J26" s="207"/>
      <c r="K26" s="207"/>
      <c r="L26" s="207"/>
      <c r="M26" s="27"/>
      <c r="N26" s="27"/>
      <c r="O26" s="28" t="str">
        <f t="shared" si="0"/>
        <v/>
      </c>
      <c r="P26" s="197"/>
      <c r="Q26" s="198"/>
      <c r="R26" s="26"/>
    </row>
    <row r="27" spans="1:18" ht="19.350000000000001" customHeight="1">
      <c r="A27" s="200"/>
      <c r="B27" s="201"/>
      <c r="C27" s="202"/>
      <c r="D27" s="203"/>
      <c r="E27" s="202"/>
      <c r="F27" s="203"/>
      <c r="G27" s="202"/>
      <c r="H27" s="215"/>
      <c r="I27" s="203"/>
      <c r="J27" s="202"/>
      <c r="K27" s="215"/>
      <c r="L27" s="203"/>
      <c r="M27" s="30"/>
      <c r="N27" s="30"/>
      <c r="O27" s="31"/>
      <c r="P27" s="214"/>
      <c r="Q27" s="203"/>
      <c r="R27" s="29"/>
    </row>
    <row r="28" spans="1:18" ht="18.75" customHeight="1"/>
  </sheetData>
  <mergeCells count="98">
    <mergeCell ref="C3:E3"/>
    <mergeCell ref="H3:J3"/>
    <mergeCell ref="L3:N3"/>
    <mergeCell ref="Q3:R3"/>
    <mergeCell ref="C5:R5"/>
    <mergeCell ref="J13:L13"/>
    <mergeCell ref="C7:R7"/>
    <mergeCell ref="C9:G9"/>
    <mergeCell ref="C10:G10"/>
    <mergeCell ref="C11:G11"/>
    <mergeCell ref="A13:B14"/>
    <mergeCell ref="P15:Q15"/>
    <mergeCell ref="C14:D14"/>
    <mergeCell ref="E14:F14"/>
    <mergeCell ref="G14:I14"/>
    <mergeCell ref="J14:L14"/>
    <mergeCell ref="P14:Q14"/>
    <mergeCell ref="A15:B15"/>
    <mergeCell ref="C15:D15"/>
    <mergeCell ref="E15:F15"/>
    <mergeCell ref="G15:I15"/>
    <mergeCell ref="J15:L15"/>
    <mergeCell ref="P13:Q13"/>
    <mergeCell ref="C13:D13"/>
    <mergeCell ref="E13:F13"/>
    <mergeCell ref="G13:I13"/>
    <mergeCell ref="P17:Q17"/>
    <mergeCell ref="A16:B16"/>
    <mergeCell ref="C16:D16"/>
    <mergeCell ref="E16:F16"/>
    <mergeCell ref="G16:I16"/>
    <mergeCell ref="J16:L16"/>
    <mergeCell ref="P16:Q16"/>
    <mergeCell ref="A17:B17"/>
    <mergeCell ref="C17:D17"/>
    <mergeCell ref="E17:F17"/>
    <mergeCell ref="G17:I17"/>
    <mergeCell ref="J17:L17"/>
    <mergeCell ref="P19:Q19"/>
    <mergeCell ref="A18:B18"/>
    <mergeCell ref="C18:D18"/>
    <mergeCell ref="E18:F18"/>
    <mergeCell ref="G18:I18"/>
    <mergeCell ref="J18:L18"/>
    <mergeCell ref="P18:Q18"/>
    <mergeCell ref="A19:B19"/>
    <mergeCell ref="C19:D19"/>
    <mergeCell ref="E19:F19"/>
    <mergeCell ref="G19:I19"/>
    <mergeCell ref="J19:L19"/>
    <mergeCell ref="P21:Q21"/>
    <mergeCell ref="A20:B20"/>
    <mergeCell ref="C20:D20"/>
    <mergeCell ref="E20:F20"/>
    <mergeCell ref="G20:I20"/>
    <mergeCell ref="J20:L20"/>
    <mergeCell ref="P20:Q20"/>
    <mergeCell ref="A21:B21"/>
    <mergeCell ref="C21:D21"/>
    <mergeCell ref="E21:F21"/>
    <mergeCell ref="G21:I21"/>
    <mergeCell ref="J21:L21"/>
    <mergeCell ref="P23:Q23"/>
    <mergeCell ref="A22:B22"/>
    <mergeCell ref="C22:D22"/>
    <mergeCell ref="E22:F22"/>
    <mergeCell ref="G22:I22"/>
    <mergeCell ref="J22:L22"/>
    <mergeCell ref="P22:Q22"/>
    <mergeCell ref="A23:B23"/>
    <mergeCell ref="C23:D23"/>
    <mergeCell ref="E23:F23"/>
    <mergeCell ref="G23:I23"/>
    <mergeCell ref="J23:L23"/>
    <mergeCell ref="P25:Q25"/>
    <mergeCell ref="A24:B24"/>
    <mergeCell ref="C24:D24"/>
    <mergeCell ref="E24:F24"/>
    <mergeCell ref="G24:I24"/>
    <mergeCell ref="J24:L24"/>
    <mergeCell ref="P24:Q24"/>
    <mergeCell ref="A25:B25"/>
    <mergeCell ref="C25:D25"/>
    <mergeCell ref="E25:F25"/>
    <mergeCell ref="G25:I25"/>
    <mergeCell ref="J25:L25"/>
    <mergeCell ref="P27:Q27"/>
    <mergeCell ref="A26:B26"/>
    <mergeCell ref="C26:D26"/>
    <mergeCell ref="E26:F26"/>
    <mergeCell ref="G26:I26"/>
    <mergeCell ref="J26:L26"/>
    <mergeCell ref="P26:Q26"/>
    <mergeCell ref="A27:B27"/>
    <mergeCell ref="C27:D27"/>
    <mergeCell ref="E27:F27"/>
    <mergeCell ref="G27:I27"/>
    <mergeCell ref="J27:L27"/>
  </mergeCells>
  <dataValidations count="1">
    <dataValidation type="list" allowBlank="1" showInputMessage="1" showErrorMessage="1" sqref="A15:B27" xr:uid="{00000000-0002-0000-0200-000000000000}">
      <formula1>GW</formula1>
    </dataValidation>
  </dataValidations>
  <pageMargins left="9.375E-2" right="1.0416666666666666E-2" top="0.75" bottom="0.48958333333333331" header="0.3" footer="0.3"/>
  <pageSetup paperSize="9" orientation="landscape"/>
  <headerFooter>
    <oddHeader>&amp;C&amp;"Arial,Bold"&amp;16PTTGC HAZOP Worksheet</oddHeader>
  </headerFooter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N436"/>
  <sheetViews>
    <sheetView showGridLines="0" zoomScaleNormal="100" workbookViewId="0">
      <selection activeCell="S27" sqref="S27"/>
    </sheetView>
  </sheetViews>
  <sheetFormatPr defaultColWidth="11.33203125" defaultRowHeight="14.4"/>
  <cols>
    <col min="1" max="1" width="5.5546875" customWidth="1"/>
    <col min="2" max="2" width="10.109375" customWidth="1"/>
    <col min="3" max="3" width="10" customWidth="1"/>
    <col min="4" max="4" width="10.109375" customWidth="1"/>
    <col min="5" max="5" width="10.44140625" hidden="1" customWidth="1"/>
    <col min="6" max="11" width="10.44140625" customWidth="1"/>
    <col min="12" max="12" width="10.33203125" customWidth="1"/>
    <col min="13" max="13" width="6" customWidth="1"/>
    <col min="14" max="14" width="10.44140625" customWidth="1"/>
  </cols>
  <sheetData>
    <row r="1" spans="1:14" ht="18" customHeight="1">
      <c r="A1" s="34"/>
    </row>
    <row r="2" spans="1:14" ht="18" customHeight="1">
      <c r="A2" s="6"/>
      <c r="B2" s="32" t="s">
        <v>29</v>
      </c>
      <c r="C2" s="229"/>
      <c r="D2" s="229"/>
      <c r="E2" s="229"/>
      <c r="F2" s="229"/>
      <c r="G2" s="229"/>
      <c r="H2" s="229"/>
      <c r="I2" s="229"/>
      <c r="J2" s="229"/>
      <c r="K2" s="229"/>
      <c r="L2" s="33"/>
      <c r="M2" s="33"/>
      <c r="N2" s="33"/>
    </row>
    <row r="3" spans="1:14" ht="18" customHeight="1">
      <c r="A3" s="6"/>
      <c r="B3" s="9" t="s">
        <v>30</v>
      </c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</row>
    <row r="4" spans="1:14" ht="18" customHeight="1">
      <c r="A4" s="6"/>
      <c r="B4" s="6"/>
      <c r="C4" s="227"/>
      <c r="D4" s="227"/>
      <c r="E4" s="227"/>
      <c r="F4" s="227"/>
      <c r="G4" s="227"/>
      <c r="H4" s="227"/>
      <c r="I4" s="227"/>
      <c r="J4" s="227"/>
      <c r="K4" s="227"/>
      <c r="L4" s="227"/>
      <c r="M4" s="227"/>
      <c r="N4" s="227"/>
    </row>
    <row r="5" spans="1:14" ht="18" customHeight="1">
      <c r="A5" s="35" t="s">
        <v>31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</row>
    <row r="6" spans="1:14" ht="18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</row>
    <row r="7" spans="1:14" ht="18" customHeight="1">
      <c r="A7" s="36" t="s">
        <v>32</v>
      </c>
      <c r="B7" s="233" t="s">
        <v>19</v>
      </c>
      <c r="C7" s="233"/>
      <c r="D7" s="233"/>
      <c r="E7" s="233" t="s">
        <v>33</v>
      </c>
      <c r="F7" s="233"/>
      <c r="G7" s="233"/>
      <c r="H7" s="37" t="s">
        <v>34</v>
      </c>
      <c r="I7" s="233" t="s">
        <v>35</v>
      </c>
      <c r="J7" s="233"/>
      <c r="K7" s="37" t="s">
        <v>36</v>
      </c>
      <c r="L7" s="38" t="s">
        <v>37</v>
      </c>
      <c r="M7" s="37" t="s">
        <v>38</v>
      </c>
      <c r="N7" s="39" t="s">
        <v>39</v>
      </c>
    </row>
    <row r="8" spans="1:14" ht="18" customHeight="1">
      <c r="A8" s="40"/>
      <c r="B8" s="234" t="s">
        <v>40</v>
      </c>
      <c r="C8" s="234"/>
      <c r="D8" s="234"/>
      <c r="E8" s="235" t="s">
        <v>41</v>
      </c>
      <c r="F8" s="235"/>
      <c r="G8" s="235"/>
      <c r="H8" s="41" t="s">
        <v>42</v>
      </c>
      <c r="I8" s="234" t="s">
        <v>43</v>
      </c>
      <c r="J8" s="234"/>
      <c r="K8" s="41" t="s">
        <v>44</v>
      </c>
      <c r="L8" s="42"/>
      <c r="M8" s="43" t="s">
        <v>45</v>
      </c>
      <c r="N8" s="44"/>
    </row>
    <row r="9" spans="1:14" ht="18" customHeight="1">
      <c r="A9" s="45"/>
      <c r="B9" s="46"/>
      <c r="C9" s="47"/>
      <c r="D9" s="48"/>
      <c r="E9" s="49" t="s">
        <v>46</v>
      </c>
      <c r="F9" s="49" t="s">
        <v>47</v>
      </c>
      <c r="G9" s="49" t="s">
        <v>48</v>
      </c>
      <c r="H9" s="49" t="s">
        <v>49</v>
      </c>
      <c r="I9" s="236" t="s">
        <v>50</v>
      </c>
      <c r="J9" s="236"/>
      <c r="K9" s="49" t="s">
        <v>51</v>
      </c>
      <c r="L9" s="50" t="s">
        <v>52</v>
      </c>
      <c r="M9" s="51"/>
      <c r="N9" s="52"/>
    </row>
    <row r="10" spans="1:14" ht="18" customHeight="1">
      <c r="A10" s="53"/>
      <c r="B10" s="230"/>
      <c r="C10" s="231"/>
      <c r="D10" s="232"/>
      <c r="E10" s="54"/>
      <c r="F10" s="54"/>
      <c r="G10" s="55"/>
      <c r="H10" s="56"/>
      <c r="I10" s="230"/>
      <c r="J10" s="232"/>
      <c r="K10" s="54"/>
      <c r="L10" s="57"/>
      <c r="M10" s="58"/>
      <c r="N10" s="59"/>
    </row>
    <row r="11" spans="1:14" ht="18" customHeight="1">
      <c r="A11" s="53"/>
      <c r="B11" s="230"/>
      <c r="C11" s="231"/>
      <c r="D11" s="232"/>
      <c r="E11" s="54"/>
      <c r="F11" s="54"/>
      <c r="G11" s="55"/>
      <c r="H11" s="56"/>
      <c r="I11" s="230"/>
      <c r="J11" s="232"/>
      <c r="K11" s="54"/>
      <c r="L11" s="57"/>
      <c r="M11" s="58"/>
      <c r="N11" s="59"/>
    </row>
    <row r="12" spans="1:14" ht="18" customHeight="1">
      <c r="A12" s="53"/>
      <c r="B12" s="230"/>
      <c r="C12" s="231"/>
      <c r="D12" s="232"/>
      <c r="E12" s="54"/>
      <c r="F12" s="54"/>
      <c r="G12" s="55"/>
      <c r="H12" s="56"/>
      <c r="I12" s="230"/>
      <c r="J12" s="232"/>
      <c r="K12" s="54"/>
      <c r="L12" s="57"/>
      <c r="M12" s="58"/>
      <c r="N12" s="59"/>
    </row>
    <row r="13" spans="1:14" ht="18" customHeight="1">
      <c r="A13" s="53"/>
      <c r="B13" s="230"/>
      <c r="C13" s="231"/>
      <c r="D13" s="232"/>
      <c r="E13" s="54"/>
      <c r="F13" s="54"/>
      <c r="G13" s="55"/>
      <c r="H13" s="56"/>
      <c r="I13" s="230"/>
      <c r="J13" s="232"/>
      <c r="K13" s="54"/>
      <c r="L13" s="57"/>
      <c r="M13" s="58"/>
      <c r="N13" s="59"/>
    </row>
    <row r="14" spans="1:14" ht="18" customHeight="1">
      <c r="A14" s="53"/>
      <c r="B14" s="230"/>
      <c r="C14" s="231"/>
      <c r="D14" s="232"/>
      <c r="E14" s="54"/>
      <c r="F14" s="54"/>
      <c r="G14" s="55"/>
      <c r="H14" s="56"/>
      <c r="I14" s="230"/>
      <c r="J14" s="232"/>
      <c r="K14" s="54"/>
      <c r="L14" s="57"/>
      <c r="M14" s="58"/>
      <c r="N14" s="59"/>
    </row>
    <row r="15" spans="1:14" ht="18" customHeight="1">
      <c r="A15" s="53"/>
      <c r="B15" s="230"/>
      <c r="C15" s="231"/>
      <c r="D15" s="232"/>
      <c r="E15" s="54"/>
      <c r="F15" s="54"/>
      <c r="G15" s="55"/>
      <c r="H15" s="56"/>
      <c r="I15" s="230"/>
      <c r="J15" s="232"/>
      <c r="K15" s="54"/>
      <c r="L15" s="57"/>
      <c r="M15" s="58"/>
      <c r="N15" s="59"/>
    </row>
    <row r="16" spans="1:14" ht="18" customHeight="1">
      <c r="A16" s="53"/>
      <c r="B16" s="230"/>
      <c r="C16" s="231"/>
      <c r="D16" s="232"/>
      <c r="E16" s="54"/>
      <c r="F16" s="54"/>
      <c r="G16" s="55"/>
      <c r="H16" s="56"/>
      <c r="I16" s="230"/>
      <c r="J16" s="232"/>
      <c r="K16" s="54"/>
      <c r="L16" s="57"/>
      <c r="M16" s="58"/>
      <c r="N16" s="59"/>
    </row>
    <row r="17" spans="1:14" ht="18" customHeight="1">
      <c r="A17" s="53"/>
      <c r="B17" s="230"/>
      <c r="C17" s="231"/>
      <c r="D17" s="232"/>
      <c r="E17" s="54"/>
      <c r="F17" s="54"/>
      <c r="G17" s="55"/>
      <c r="H17" s="56"/>
      <c r="I17" s="230"/>
      <c r="J17" s="232"/>
      <c r="K17" s="54"/>
      <c r="L17" s="57"/>
      <c r="M17" s="58"/>
      <c r="N17" s="59"/>
    </row>
    <row r="18" spans="1:14" ht="18" customHeight="1">
      <c r="A18" s="53"/>
      <c r="B18" s="230"/>
      <c r="C18" s="231"/>
      <c r="D18" s="232"/>
      <c r="E18" s="54"/>
      <c r="F18" s="54"/>
      <c r="G18" s="55"/>
      <c r="H18" s="56"/>
      <c r="I18" s="230"/>
      <c r="J18" s="232"/>
      <c r="K18" s="54"/>
      <c r="L18" s="57"/>
      <c r="M18" s="58"/>
      <c r="N18" s="59"/>
    </row>
    <row r="19" spans="1:14" ht="18" customHeight="1">
      <c r="A19" s="53"/>
      <c r="B19" s="230"/>
      <c r="C19" s="231"/>
      <c r="D19" s="232"/>
      <c r="E19" s="54"/>
      <c r="F19" s="54"/>
      <c r="G19" s="55"/>
      <c r="H19" s="56"/>
      <c r="I19" s="230"/>
      <c r="J19" s="232"/>
      <c r="K19" s="54"/>
      <c r="L19" s="57"/>
      <c r="M19" s="58"/>
      <c r="N19" s="59"/>
    </row>
    <row r="20" spans="1:14" ht="18" customHeight="1">
      <c r="A20" s="53"/>
      <c r="B20" s="230"/>
      <c r="C20" s="231"/>
      <c r="D20" s="232"/>
      <c r="E20" s="54"/>
      <c r="F20" s="54"/>
      <c r="G20" s="55"/>
      <c r="H20" s="56"/>
      <c r="I20" s="230"/>
      <c r="J20" s="232"/>
      <c r="K20" s="54"/>
      <c r="L20" s="57"/>
      <c r="M20" s="58"/>
      <c r="N20" s="59"/>
    </row>
    <row r="21" spans="1:14" ht="18" customHeight="1">
      <c r="A21" s="53"/>
      <c r="B21" s="230"/>
      <c r="C21" s="231"/>
      <c r="D21" s="232"/>
      <c r="E21" s="54"/>
      <c r="F21" s="54"/>
      <c r="G21" s="55"/>
      <c r="H21" s="56"/>
      <c r="I21" s="230"/>
      <c r="J21" s="232"/>
      <c r="K21" s="54"/>
      <c r="L21" s="57"/>
      <c r="M21" s="58"/>
      <c r="N21" s="59"/>
    </row>
    <row r="22" spans="1:14" ht="18" customHeight="1">
      <c r="A22" s="53"/>
      <c r="B22" s="230"/>
      <c r="C22" s="231"/>
      <c r="D22" s="232"/>
      <c r="E22" s="54"/>
      <c r="F22" s="54"/>
      <c r="G22" s="55"/>
      <c r="H22" s="56"/>
      <c r="I22" s="230"/>
      <c r="J22" s="232"/>
      <c r="K22" s="54"/>
      <c r="L22" s="57"/>
      <c r="M22" s="58"/>
      <c r="N22" s="59"/>
    </row>
    <row r="23" spans="1:14" ht="18" customHeight="1">
      <c r="A23" s="53"/>
      <c r="B23" s="230"/>
      <c r="C23" s="231"/>
      <c r="D23" s="232"/>
      <c r="E23" s="54"/>
      <c r="F23" s="54"/>
      <c r="G23" s="55"/>
      <c r="H23" s="56"/>
      <c r="I23" s="230"/>
      <c r="J23" s="232"/>
      <c r="K23" s="54"/>
      <c r="L23" s="57"/>
      <c r="M23" s="58"/>
      <c r="N23" s="59"/>
    </row>
    <row r="24" spans="1:14" ht="18" customHeight="1">
      <c r="A24" s="53"/>
      <c r="B24" s="230"/>
      <c r="C24" s="231"/>
      <c r="D24" s="232"/>
      <c r="E24" s="54"/>
      <c r="F24" s="54"/>
      <c r="G24" s="55"/>
      <c r="H24" s="56"/>
      <c r="I24" s="230"/>
      <c r="J24" s="232"/>
      <c r="K24" s="54"/>
      <c r="L24" s="57"/>
      <c r="M24" s="58"/>
      <c r="N24" s="59"/>
    </row>
    <row r="25" spans="1:14" ht="18" customHeight="1">
      <c r="A25" s="53"/>
      <c r="B25" s="230"/>
      <c r="C25" s="231"/>
      <c r="D25" s="232"/>
      <c r="E25" s="54"/>
      <c r="F25" s="54"/>
      <c r="G25" s="55"/>
      <c r="H25" s="56"/>
      <c r="I25" s="230"/>
      <c r="J25" s="232"/>
      <c r="K25" s="54"/>
      <c r="L25" s="57"/>
      <c r="M25" s="58"/>
      <c r="N25" s="59"/>
    </row>
    <row r="26" spans="1:14" ht="18" customHeight="1">
      <c r="A26" s="53"/>
      <c r="B26" s="230"/>
      <c r="C26" s="231"/>
      <c r="D26" s="232"/>
      <c r="E26" s="54"/>
      <c r="F26" s="54"/>
      <c r="G26" s="55"/>
      <c r="H26" s="56"/>
      <c r="I26" s="230"/>
      <c r="J26" s="232"/>
      <c r="K26" s="54"/>
      <c r="L26" s="57"/>
      <c r="M26" s="58"/>
      <c r="N26" s="59"/>
    </row>
    <row r="27" spans="1:14" ht="18" customHeight="1">
      <c r="A27" s="53"/>
      <c r="B27" s="230"/>
      <c r="C27" s="231"/>
      <c r="D27" s="232"/>
      <c r="E27" s="54"/>
      <c r="F27" s="54"/>
      <c r="G27" s="55"/>
      <c r="H27" s="56"/>
      <c r="I27" s="230"/>
      <c r="J27" s="232"/>
      <c r="K27" s="54"/>
      <c r="L27" s="57"/>
      <c r="M27" s="58"/>
      <c r="N27" s="59"/>
    </row>
    <row r="28" spans="1:14" ht="18" customHeight="1">
      <c r="A28" s="53"/>
      <c r="B28" s="230"/>
      <c r="C28" s="231"/>
      <c r="D28" s="232"/>
      <c r="E28" s="54"/>
      <c r="F28" s="54"/>
      <c r="G28" s="55"/>
      <c r="H28" s="56"/>
      <c r="I28" s="230"/>
      <c r="J28" s="232"/>
      <c r="K28" s="54"/>
      <c r="L28" s="57"/>
      <c r="M28" s="58"/>
      <c r="N28" s="59"/>
    </row>
    <row r="29" spans="1:14" ht="18" customHeight="1">
      <c r="A29" s="60"/>
      <c r="B29" s="237"/>
      <c r="C29" s="238"/>
      <c r="D29" s="239"/>
      <c r="E29" s="61"/>
      <c r="F29" s="61"/>
      <c r="G29" s="62"/>
      <c r="H29" s="63"/>
      <c r="I29" s="237"/>
      <c r="J29" s="239"/>
      <c r="K29" s="61"/>
      <c r="L29" s="64"/>
      <c r="M29" s="65"/>
      <c r="N29" s="66"/>
    </row>
    <row r="30" spans="1:14" ht="18" customHeight="1">
      <c r="M30" s="3"/>
    </row>
    <row r="31" spans="1:14" ht="18" customHeight="1"/>
    <row r="32" spans="1:14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  <row r="233" ht="18" customHeight="1"/>
    <row r="234" ht="18" customHeight="1"/>
    <row r="235" ht="18" customHeight="1"/>
    <row r="236" ht="18" customHeight="1"/>
    <row r="237" ht="18" customHeight="1"/>
    <row r="238" ht="18" customHeight="1"/>
    <row r="239" ht="18" customHeight="1"/>
    <row r="240" ht="18" customHeight="1"/>
    <row r="241" ht="18" customHeight="1"/>
    <row r="242" ht="18" customHeight="1"/>
    <row r="243" ht="18" customHeight="1"/>
    <row r="244" ht="18" customHeight="1"/>
    <row r="245" ht="18" customHeight="1"/>
    <row r="246" ht="18" customHeight="1"/>
    <row r="247" ht="18" customHeight="1"/>
    <row r="248" ht="18" customHeight="1"/>
    <row r="249" ht="18" customHeight="1"/>
    <row r="250" ht="18" customHeight="1"/>
    <row r="251" ht="18" customHeight="1"/>
    <row r="252" ht="18" customHeight="1"/>
    <row r="253" ht="18" customHeight="1"/>
    <row r="254" ht="18" customHeight="1"/>
    <row r="255" ht="18" customHeight="1"/>
    <row r="256" ht="18" customHeight="1"/>
    <row r="257" ht="18" customHeight="1"/>
    <row r="258" ht="18" customHeight="1"/>
    <row r="259" ht="18" customHeight="1"/>
    <row r="260" ht="18" customHeight="1"/>
    <row r="261" ht="18" customHeight="1"/>
    <row r="262" ht="18" customHeight="1"/>
    <row r="263" ht="18" customHeight="1"/>
    <row r="264" ht="18" customHeight="1"/>
    <row r="265" ht="18" customHeight="1"/>
    <row r="266" ht="18" customHeight="1"/>
    <row r="267" ht="18" customHeight="1"/>
    <row r="268" ht="18" customHeight="1"/>
    <row r="269" ht="18" customHeight="1"/>
    <row r="270" ht="18" customHeight="1"/>
    <row r="271" ht="18" customHeight="1"/>
    <row r="272" ht="18" customHeight="1"/>
    <row r="273" ht="18" customHeight="1"/>
    <row r="274" ht="18" customHeight="1"/>
    <row r="275" ht="18" customHeight="1"/>
    <row r="276" ht="18" customHeight="1"/>
    <row r="277" ht="18" customHeight="1"/>
    <row r="278" ht="18" customHeight="1"/>
    <row r="279" ht="18" customHeight="1"/>
    <row r="280" ht="18" customHeight="1"/>
    <row r="281" ht="18" customHeight="1"/>
    <row r="282" ht="18" customHeight="1"/>
    <row r="283" ht="18" customHeight="1"/>
    <row r="284" ht="18" customHeight="1"/>
    <row r="285" ht="18" customHeight="1"/>
    <row r="286" ht="18" customHeight="1"/>
    <row r="287" ht="18" customHeight="1"/>
    <row r="288" ht="18" customHeight="1"/>
    <row r="289" ht="18" customHeight="1"/>
    <row r="290" ht="18" customHeight="1"/>
    <row r="291" ht="18" customHeight="1"/>
    <row r="292" ht="18" customHeight="1"/>
    <row r="293" ht="18" customHeight="1"/>
    <row r="294" ht="18" customHeight="1"/>
    <row r="295" ht="18" customHeight="1"/>
    <row r="296" ht="18" customHeight="1"/>
    <row r="297" ht="18" customHeight="1"/>
    <row r="298" ht="18" customHeight="1"/>
    <row r="299" ht="18" customHeight="1"/>
    <row r="300" ht="18" customHeight="1"/>
    <row r="301" ht="18" customHeight="1"/>
    <row r="302" ht="18" customHeight="1"/>
    <row r="303" ht="18" customHeight="1"/>
    <row r="304" ht="18" customHeight="1"/>
    <row r="305" ht="18" customHeight="1"/>
    <row r="306" ht="18" customHeight="1"/>
    <row r="307" ht="18" customHeight="1"/>
    <row r="308" ht="18" customHeight="1"/>
    <row r="309" ht="18" customHeight="1"/>
    <row r="310" ht="18" customHeight="1"/>
    <row r="311" ht="18" customHeight="1"/>
    <row r="312" ht="18" customHeight="1"/>
    <row r="313" ht="18" customHeight="1"/>
    <row r="314" ht="18" customHeight="1"/>
    <row r="315" ht="18" customHeight="1"/>
    <row r="316" ht="18" customHeight="1"/>
    <row r="317" ht="18" customHeight="1"/>
    <row r="318" ht="18" customHeight="1"/>
    <row r="319" ht="18" customHeight="1"/>
    <row r="320" ht="18" customHeight="1"/>
    <row r="321" ht="18" customHeight="1"/>
    <row r="322" ht="18" customHeight="1"/>
    <row r="323" ht="18" customHeight="1"/>
    <row r="324" ht="18" customHeight="1"/>
    <row r="325" ht="18" customHeight="1"/>
    <row r="326" ht="18" customHeight="1"/>
    <row r="327" ht="18" customHeight="1"/>
    <row r="328" ht="18" customHeight="1"/>
    <row r="329" ht="18" customHeight="1"/>
    <row r="330" ht="18" customHeight="1"/>
    <row r="331" ht="18" customHeight="1"/>
    <row r="332" ht="18" customHeight="1"/>
    <row r="333" ht="18" customHeight="1"/>
    <row r="334" ht="18" customHeight="1"/>
    <row r="335" ht="18" customHeight="1"/>
    <row r="336" ht="18" customHeight="1"/>
    <row r="337" ht="18" customHeight="1"/>
    <row r="338" ht="18" customHeight="1"/>
    <row r="339" ht="18" customHeight="1"/>
    <row r="340" ht="18" customHeight="1"/>
    <row r="341" ht="18" customHeight="1"/>
    <row r="342" ht="18" customHeight="1"/>
    <row r="343" ht="18" customHeight="1"/>
    <row r="344" ht="18" customHeight="1"/>
    <row r="345" ht="18" customHeight="1"/>
    <row r="346" ht="18" customHeight="1"/>
    <row r="347" ht="18" customHeight="1"/>
    <row r="348" ht="18" customHeight="1"/>
    <row r="349" ht="18" customHeight="1"/>
    <row r="350" ht="18" customHeight="1"/>
    <row r="351" ht="18" customHeight="1"/>
    <row r="352" ht="18" customHeight="1"/>
    <row r="353" ht="18" customHeight="1"/>
    <row r="354" ht="18" customHeight="1"/>
    <row r="355" ht="18" customHeight="1"/>
    <row r="356" ht="18" customHeight="1"/>
    <row r="357" ht="18" customHeight="1"/>
    <row r="358" ht="18" customHeight="1"/>
    <row r="359" ht="18" customHeight="1"/>
    <row r="360" ht="18" customHeight="1"/>
    <row r="361" ht="18" customHeight="1"/>
    <row r="362" ht="18" customHeight="1"/>
    <row r="363" ht="18" customHeight="1"/>
    <row r="364" ht="18" customHeight="1"/>
    <row r="365" ht="18" customHeight="1"/>
    <row r="366" ht="18" customHeight="1"/>
    <row r="367" ht="18" customHeight="1"/>
    <row r="368" ht="18" customHeight="1"/>
    <row r="369" ht="18" customHeight="1"/>
    <row r="370" ht="18" customHeight="1"/>
    <row r="371" ht="18" customHeight="1"/>
    <row r="372" ht="18" customHeight="1"/>
    <row r="373" ht="18" customHeight="1"/>
    <row r="374" ht="18" customHeight="1"/>
    <row r="375" ht="18" customHeight="1"/>
    <row r="376" ht="18" customHeight="1"/>
    <row r="377" ht="18" customHeight="1"/>
    <row r="378" ht="18" customHeight="1"/>
    <row r="379" ht="18" customHeight="1"/>
    <row r="380" ht="18" customHeight="1"/>
    <row r="381" ht="18" customHeight="1"/>
    <row r="382" ht="18" customHeight="1"/>
    <row r="383" ht="18" customHeight="1"/>
    <row r="384" ht="18" customHeight="1"/>
    <row r="385" ht="18" customHeight="1"/>
    <row r="386" ht="18" customHeight="1"/>
    <row r="387" ht="18" customHeight="1"/>
    <row r="388" ht="18" customHeight="1"/>
    <row r="389" ht="18" customHeight="1"/>
    <row r="390" ht="18" customHeight="1"/>
    <row r="391" ht="18" customHeight="1"/>
    <row r="392" ht="18" customHeight="1"/>
    <row r="393" ht="18" customHeight="1"/>
    <row r="394" ht="18" customHeight="1"/>
    <row r="395" ht="18" customHeight="1"/>
    <row r="396" ht="18" customHeight="1"/>
    <row r="397" ht="18" customHeight="1"/>
    <row r="398" ht="18" customHeight="1"/>
    <row r="399" ht="18" customHeight="1"/>
    <row r="400" ht="18" customHeight="1"/>
    <row r="401" ht="18" customHeight="1"/>
    <row r="402" ht="18" customHeight="1"/>
    <row r="403" ht="18" customHeight="1"/>
    <row r="404" ht="18" customHeight="1"/>
    <row r="405" ht="18" customHeight="1"/>
    <row r="406" ht="18" customHeight="1"/>
    <row r="407" ht="18" customHeight="1"/>
    <row r="408" ht="18" customHeight="1"/>
    <row r="409" ht="18" customHeight="1"/>
    <row r="410" ht="18" customHeight="1"/>
    <row r="411" ht="18" customHeight="1"/>
    <row r="412" ht="18" customHeight="1"/>
    <row r="413" ht="18" customHeight="1"/>
    <row r="414" ht="18" customHeight="1"/>
    <row r="415" ht="18" customHeight="1"/>
    <row r="416" ht="18" customHeight="1"/>
    <row r="417" ht="18" customHeight="1"/>
    <row r="418" ht="18" customHeight="1"/>
    <row r="419" ht="18" customHeight="1"/>
    <row r="420" ht="18" customHeight="1"/>
    <row r="421" ht="18" customHeight="1"/>
    <row r="422" ht="18" customHeight="1"/>
    <row r="423" ht="18" customHeight="1"/>
    <row r="424" ht="18" customHeight="1"/>
    <row r="425" ht="18" customHeight="1"/>
    <row r="426" ht="18" customHeight="1"/>
    <row r="427" ht="18" customHeight="1"/>
    <row r="428" ht="18" customHeight="1"/>
    <row r="429" ht="18" customHeight="1"/>
    <row r="430" ht="18" customHeight="1"/>
    <row r="431" ht="18" customHeight="1"/>
    <row r="432" ht="18" customHeight="1"/>
    <row r="433" ht="18" customHeight="1"/>
    <row r="434" ht="18" customHeight="1"/>
    <row r="435" ht="18" customHeight="1"/>
    <row r="436" ht="18" customHeight="1"/>
  </sheetData>
  <mergeCells count="50">
    <mergeCell ref="B28:D28"/>
    <mergeCell ref="I28:J28"/>
    <mergeCell ref="B29:D29"/>
    <mergeCell ref="I29:J29"/>
    <mergeCell ref="B25:D25"/>
    <mergeCell ref="I25:J25"/>
    <mergeCell ref="B26:D26"/>
    <mergeCell ref="I26:J26"/>
    <mergeCell ref="B27:D27"/>
    <mergeCell ref="I27:J27"/>
    <mergeCell ref="B22:D22"/>
    <mergeCell ref="I22:J22"/>
    <mergeCell ref="B23:D23"/>
    <mergeCell ref="I23:J23"/>
    <mergeCell ref="B24:D24"/>
    <mergeCell ref="I24:J24"/>
    <mergeCell ref="B19:D19"/>
    <mergeCell ref="I19:J19"/>
    <mergeCell ref="B20:D20"/>
    <mergeCell ref="I20:J20"/>
    <mergeCell ref="B21:D21"/>
    <mergeCell ref="I21:J21"/>
    <mergeCell ref="B16:D16"/>
    <mergeCell ref="I16:J16"/>
    <mergeCell ref="B17:D17"/>
    <mergeCell ref="I17:J17"/>
    <mergeCell ref="B18:D18"/>
    <mergeCell ref="I18:J18"/>
    <mergeCell ref="B13:D13"/>
    <mergeCell ref="I13:J13"/>
    <mergeCell ref="B14:D14"/>
    <mergeCell ref="I14:J14"/>
    <mergeCell ref="B15:D15"/>
    <mergeCell ref="I15:J15"/>
    <mergeCell ref="C2:K2"/>
    <mergeCell ref="C3:N3"/>
    <mergeCell ref="C4:N4"/>
    <mergeCell ref="B12:D12"/>
    <mergeCell ref="I12:J12"/>
    <mergeCell ref="B7:D7"/>
    <mergeCell ref="E7:G7"/>
    <mergeCell ref="I7:J7"/>
    <mergeCell ref="B8:D8"/>
    <mergeCell ref="E8:G8"/>
    <mergeCell ref="I8:J8"/>
    <mergeCell ref="I9:J9"/>
    <mergeCell ref="B10:D10"/>
    <mergeCell ref="I10:J10"/>
    <mergeCell ref="B11:D11"/>
    <mergeCell ref="I11:J11"/>
  </mergeCells>
  <dataValidations count="2">
    <dataValidation type="whole" operator="greaterThan" allowBlank="1" showInputMessage="1" showErrorMessage="1" sqref="A10:A29" xr:uid="{00000000-0002-0000-0300-000000000000}">
      <formula1>0</formula1>
    </dataValidation>
    <dataValidation type="date" allowBlank="1" showInputMessage="1" showErrorMessage="1" sqref="N10:N29 L10:L29" xr:uid="{00000000-0002-0000-0300-000001000000}">
      <formula1>36526</formula1>
      <formula2>237410</formula2>
    </dataValidation>
  </dataValidations>
  <pageMargins left="0.44791666666666669" right="3.125E-2" top="0.75" bottom="0.5" header="0.3" footer="0.3"/>
  <pageSetup orientation="landscape"/>
  <headerFooter>
    <oddHeader>&amp;C&amp;"Arial,Bold"Action Items - Recommendations
(แผนควบคุมความเสี่ยง)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115CF-A795-448C-8987-FA7E4608ED6B}">
  <sheetPr codeName="Sheet21"/>
  <dimension ref="B1:R17"/>
  <sheetViews>
    <sheetView workbookViewId="0"/>
  </sheetViews>
  <sheetFormatPr defaultRowHeight="14.4"/>
  <sheetData>
    <row r="1" spans="2:18">
      <c r="B1" s="153" t="s">
        <v>10</v>
      </c>
      <c r="C1" s="153" t="s">
        <v>53</v>
      </c>
      <c r="D1" s="153" t="s">
        <v>54</v>
      </c>
      <c r="E1" s="153" t="s">
        <v>55</v>
      </c>
      <c r="F1" s="153" t="s">
        <v>56</v>
      </c>
      <c r="G1" s="153" t="s">
        <v>57</v>
      </c>
      <c r="H1" s="153" t="s">
        <v>58</v>
      </c>
      <c r="I1" s="153" t="s">
        <v>59</v>
      </c>
      <c r="J1" s="153" t="s">
        <v>60</v>
      </c>
      <c r="K1" s="153" t="s">
        <v>61</v>
      </c>
      <c r="L1" s="153" t="s">
        <v>62</v>
      </c>
      <c r="M1" s="153" t="s">
        <v>63</v>
      </c>
      <c r="N1" s="153" t="s">
        <v>64</v>
      </c>
      <c r="O1" s="153" t="s">
        <v>65</v>
      </c>
      <c r="P1" s="153" t="s">
        <v>66</v>
      </c>
      <c r="Q1" s="153" t="s">
        <v>67</v>
      </c>
      <c r="R1" s="153" t="s">
        <v>68</v>
      </c>
    </row>
    <row r="2" spans="2:18">
      <c r="B2" t="s">
        <v>53</v>
      </c>
      <c r="C2" t="s">
        <v>69</v>
      </c>
      <c r="D2" t="s">
        <v>70</v>
      </c>
      <c r="E2" t="s">
        <v>71</v>
      </c>
      <c r="F2" t="s">
        <v>72</v>
      </c>
      <c r="G2" t="s">
        <v>73</v>
      </c>
      <c r="H2" t="s">
        <v>74</v>
      </c>
      <c r="I2" t="s">
        <v>75</v>
      </c>
      <c r="J2" t="s">
        <v>76</v>
      </c>
      <c r="K2" t="s">
        <v>77</v>
      </c>
      <c r="L2" t="s">
        <v>78</v>
      </c>
      <c r="M2" t="s">
        <v>79</v>
      </c>
      <c r="N2" t="s">
        <v>80</v>
      </c>
      <c r="O2" t="s">
        <v>81</v>
      </c>
      <c r="P2" t="s">
        <v>82</v>
      </c>
      <c r="Q2" t="s">
        <v>83</v>
      </c>
      <c r="R2" t="s">
        <v>68</v>
      </c>
    </row>
    <row r="3" spans="2:18">
      <c r="B3" t="s">
        <v>54</v>
      </c>
      <c r="C3" t="s">
        <v>84</v>
      </c>
      <c r="D3" t="s">
        <v>85</v>
      </c>
      <c r="E3" t="s">
        <v>86</v>
      </c>
      <c r="F3" t="s">
        <v>87</v>
      </c>
      <c r="G3" t="s">
        <v>88</v>
      </c>
      <c r="H3" t="s">
        <v>89</v>
      </c>
      <c r="I3" t="s">
        <v>68</v>
      </c>
      <c r="J3" t="s">
        <v>90</v>
      </c>
      <c r="K3" t="s">
        <v>91</v>
      </c>
      <c r="N3" t="s">
        <v>92</v>
      </c>
      <c r="O3" t="s">
        <v>68</v>
      </c>
      <c r="P3" t="s">
        <v>68</v>
      </c>
    </row>
    <row r="4" spans="2:18">
      <c r="B4" t="s">
        <v>55</v>
      </c>
      <c r="C4" t="s">
        <v>93</v>
      </c>
      <c r="F4" t="s">
        <v>94</v>
      </c>
      <c r="G4" t="s">
        <v>95</v>
      </c>
      <c r="H4" t="s">
        <v>96</v>
      </c>
      <c r="J4" t="s">
        <v>68</v>
      </c>
      <c r="K4" t="s">
        <v>68</v>
      </c>
      <c r="N4" t="s">
        <v>97</v>
      </c>
    </row>
    <row r="5" spans="2:18">
      <c r="B5" t="s">
        <v>56</v>
      </c>
      <c r="C5" t="s">
        <v>98</v>
      </c>
      <c r="F5" t="s">
        <v>99</v>
      </c>
      <c r="G5" t="s">
        <v>100</v>
      </c>
      <c r="H5" t="s">
        <v>101</v>
      </c>
      <c r="N5" t="s">
        <v>102</v>
      </c>
    </row>
    <row r="6" spans="2:18">
      <c r="B6" t="s">
        <v>57</v>
      </c>
      <c r="C6" t="s">
        <v>103</v>
      </c>
      <c r="G6" t="s">
        <v>104</v>
      </c>
      <c r="H6" t="s">
        <v>68</v>
      </c>
      <c r="N6" t="s">
        <v>105</v>
      </c>
    </row>
    <row r="7" spans="2:18">
      <c r="B7" t="s">
        <v>58</v>
      </c>
      <c r="C7" t="s">
        <v>106</v>
      </c>
      <c r="G7" t="s">
        <v>107</v>
      </c>
      <c r="N7" t="s">
        <v>68</v>
      </c>
    </row>
    <row r="8" spans="2:18">
      <c r="B8" t="s">
        <v>59</v>
      </c>
      <c r="C8" t="s">
        <v>68</v>
      </c>
      <c r="G8" t="s">
        <v>68</v>
      </c>
    </row>
    <row r="9" spans="2:18">
      <c r="B9" t="s">
        <v>60</v>
      </c>
    </row>
    <row r="10" spans="2:18">
      <c r="B10" t="s">
        <v>61</v>
      </c>
    </row>
    <row r="11" spans="2:18">
      <c r="B11" t="s">
        <v>62</v>
      </c>
    </row>
    <row r="12" spans="2:18">
      <c r="B12" t="s">
        <v>63</v>
      </c>
    </row>
    <row r="13" spans="2:18">
      <c r="B13" t="s">
        <v>64</v>
      </c>
    </row>
    <row r="14" spans="2:18">
      <c r="B14" t="s">
        <v>65</v>
      </c>
    </row>
    <row r="15" spans="2:18">
      <c r="B15" t="s">
        <v>66</v>
      </c>
    </row>
    <row r="16" spans="2:18">
      <c r="B16" t="s">
        <v>67</v>
      </c>
    </row>
    <row r="17" spans="2:2">
      <c r="B17" t="s">
        <v>68</v>
      </c>
    </row>
  </sheetData>
  <sheetProtection algorithmName="SHA-512" hashValue="FI9a3KRk87K8r6AhUOLAaLo8AMoojQj3/N99fTVL00Vl4ftQoQHeWmxK7CvJNW+sd/ur+84IxIuYwe62U1kDEQ==" saltValue="RlI5c6yQM5rDzDtXYcN+Lg==" spinCount="100000" sheet="1" objects="1" scenarios="1"/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C025-A469-4A32-A5D5-F75C069D156A}">
  <sheetPr codeName="Sheet20"/>
  <dimension ref="A1:E5"/>
  <sheetViews>
    <sheetView workbookViewId="0"/>
  </sheetViews>
  <sheetFormatPr defaultRowHeight="14.4"/>
  <sheetData>
    <row r="1" spans="1:5">
      <c r="A1" s="162" t="s">
        <v>108</v>
      </c>
      <c r="B1" s="162" t="s">
        <v>108</v>
      </c>
      <c r="C1" s="163" t="s">
        <v>15</v>
      </c>
      <c r="D1" s="163" t="s">
        <v>15</v>
      </c>
      <c r="E1" s="163" t="s">
        <v>15</v>
      </c>
    </row>
    <row r="2" spans="1:5">
      <c r="A2" s="162" t="s">
        <v>108</v>
      </c>
      <c r="B2" s="163" t="s">
        <v>15</v>
      </c>
      <c r="C2" s="163" t="s">
        <v>15</v>
      </c>
      <c r="D2" s="164" t="s">
        <v>109</v>
      </c>
      <c r="E2" s="164" t="s">
        <v>109</v>
      </c>
    </row>
    <row r="3" spans="1:5">
      <c r="A3" s="163" t="s">
        <v>15</v>
      </c>
      <c r="B3" s="163" t="s">
        <v>15</v>
      </c>
      <c r="C3" s="164" t="s">
        <v>109</v>
      </c>
      <c r="D3" s="165" t="s">
        <v>110</v>
      </c>
      <c r="E3" s="165" t="s">
        <v>110</v>
      </c>
    </row>
    <row r="4" spans="1:5">
      <c r="A4" s="163" t="s">
        <v>15</v>
      </c>
      <c r="B4" s="164" t="s">
        <v>109</v>
      </c>
      <c r="C4" s="165" t="s">
        <v>110</v>
      </c>
      <c r="D4" s="165" t="s">
        <v>110</v>
      </c>
      <c r="E4" s="166" t="s">
        <v>111</v>
      </c>
    </row>
    <row r="5" spans="1:5">
      <c r="A5" s="163" t="s">
        <v>15</v>
      </c>
      <c r="B5" s="164" t="s">
        <v>109</v>
      </c>
      <c r="C5" s="165" t="s">
        <v>110</v>
      </c>
      <c r="D5" s="166" t="s">
        <v>111</v>
      </c>
      <c r="E5" s="166" t="s">
        <v>111</v>
      </c>
    </row>
  </sheetData>
  <sheetProtection algorithmName="SHA-512" hashValue="jGQ7bzdBgnK8V3086Q32TsJOd0LIpO15xSsGtLa8qynGibQBV6LeMaMI5hUEaejhrzJu34d3Htpd6/YP349Gfw==" saltValue="3cRZ1r1f5JDZ4fsfC/95dg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9D17C-09C1-4E57-B8E0-5D9773413B9B}">
  <sheetPr codeName="Sheet18">
    <pageSetUpPr fitToPage="1"/>
  </sheetPr>
  <dimension ref="A1:AN29"/>
  <sheetViews>
    <sheetView showGridLines="0" topLeftCell="A16" zoomScaleNormal="100" workbookViewId="0">
      <selection activeCell="X1" sqref="X1"/>
    </sheetView>
  </sheetViews>
  <sheetFormatPr defaultColWidth="11.33203125" defaultRowHeight="14.4"/>
  <cols>
    <col min="1" max="9" width="7.88671875" customWidth="1"/>
    <col min="10" max="15" width="5.6640625" customWidth="1"/>
    <col min="16" max="17" width="8.33203125" customWidth="1"/>
    <col min="18" max="18" width="7.88671875" customWidth="1"/>
    <col min="19" max="24" width="5.6640625" customWidth="1"/>
    <col min="25" max="26" width="8.33203125" customWidth="1"/>
    <col min="27" max="27" width="7.88671875" customWidth="1"/>
    <col min="28" max="33" width="5.6640625" customWidth="1"/>
    <col min="34" max="117" width="9.88671875" customWidth="1"/>
  </cols>
  <sheetData>
    <row r="1" spans="1:40" ht="19.350000000000001" customHeight="1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J1" s="3"/>
      <c r="AK1" s="3"/>
      <c r="AL1" s="3"/>
      <c r="AM1" s="3"/>
      <c r="AN1" s="3"/>
    </row>
    <row r="2" spans="1:40" ht="19.350000000000001" customHeight="1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J2" s="3"/>
      <c r="AK2" s="3"/>
      <c r="AL2" s="3"/>
      <c r="AM2" s="3"/>
      <c r="AN2" s="3"/>
    </row>
    <row r="3" spans="1:40" ht="19.350000000000001" customHeight="1">
      <c r="A3" s="8"/>
      <c r="B3" s="9" t="s">
        <v>0</v>
      </c>
      <c r="C3" s="191" t="s">
        <v>130</v>
      </c>
      <c r="D3" s="191"/>
      <c r="E3" s="191"/>
      <c r="F3" s="8"/>
      <c r="G3" s="9" t="s">
        <v>1</v>
      </c>
      <c r="H3" s="191" t="s">
        <v>131</v>
      </c>
      <c r="I3" s="191"/>
      <c r="J3" s="191"/>
      <c r="K3" s="191"/>
      <c r="L3" s="137"/>
      <c r="M3" s="192" t="s">
        <v>2</v>
      </c>
      <c r="N3" s="192"/>
      <c r="O3" s="191" t="s">
        <v>132</v>
      </c>
      <c r="P3" s="191"/>
      <c r="Q3" s="191"/>
      <c r="R3" s="191"/>
      <c r="S3" s="192" t="s">
        <v>3</v>
      </c>
      <c r="T3" s="192"/>
      <c r="U3" s="192"/>
      <c r="V3" s="262">
        <v>43149</v>
      </c>
      <c r="W3" s="195"/>
      <c r="X3" s="195"/>
      <c r="Y3" s="195"/>
      <c r="Z3" s="3"/>
      <c r="AA3" s="3"/>
      <c r="AB3" s="3"/>
      <c r="AC3" s="3"/>
    </row>
    <row r="4" spans="1:40" ht="19.350000000000001" customHeight="1">
      <c r="A4" s="8"/>
      <c r="B4" s="9" t="s">
        <v>4</v>
      </c>
      <c r="C4" s="196">
        <v>1</v>
      </c>
      <c r="D4" s="196"/>
      <c r="E4" s="196"/>
      <c r="F4" s="13"/>
      <c r="G4" s="13"/>
      <c r="H4" s="5"/>
      <c r="I4" s="14"/>
      <c r="J4" s="14"/>
      <c r="K4" s="14"/>
      <c r="L4" s="14"/>
      <c r="M4" s="14"/>
      <c r="N4" s="14"/>
      <c r="O4" s="14"/>
      <c r="P4" s="14"/>
      <c r="Q4" s="5"/>
      <c r="R4" s="5"/>
      <c r="S4" s="14"/>
      <c r="T4" s="14"/>
      <c r="U4" s="14"/>
      <c r="V4" s="14"/>
      <c r="W4" s="14"/>
      <c r="X4" s="14"/>
      <c r="Y4" s="14"/>
      <c r="Z4" s="5"/>
      <c r="AA4" s="5"/>
      <c r="AB4" s="14"/>
      <c r="AC4" s="14"/>
      <c r="AD4" s="14"/>
      <c r="AE4" s="14"/>
      <c r="AF4" s="14"/>
      <c r="AG4" s="14"/>
      <c r="AJ4" s="3"/>
      <c r="AK4" s="3"/>
      <c r="AL4" s="3"/>
      <c r="AM4" s="3"/>
      <c r="AN4" s="3"/>
    </row>
    <row r="5" spans="1:40" ht="19.350000000000001" customHeight="1">
      <c r="A5" s="8"/>
      <c r="B5" s="9" t="s">
        <v>5</v>
      </c>
      <c r="C5" s="172" t="s">
        <v>133</v>
      </c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72"/>
      <c r="S5" s="172"/>
      <c r="T5" s="172"/>
      <c r="U5" s="172"/>
      <c r="V5" s="172"/>
      <c r="W5" s="172"/>
      <c r="X5" s="172"/>
      <c r="Y5" s="172"/>
      <c r="Z5" s="67"/>
      <c r="AA5" s="67"/>
      <c r="AB5" s="67"/>
      <c r="AC5" s="67"/>
      <c r="AD5" s="67"/>
      <c r="AE5" s="67"/>
      <c r="AF5" s="67"/>
      <c r="AG5" s="67"/>
      <c r="AJ5" s="3"/>
      <c r="AK5" s="3"/>
      <c r="AL5" s="3"/>
      <c r="AM5" s="3"/>
      <c r="AN5" s="3"/>
    </row>
    <row r="6" spans="1:40" ht="19.350000000000001" customHeight="1">
      <c r="A6" s="8"/>
      <c r="B6" s="15" t="s">
        <v>6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J6" s="3"/>
      <c r="AK6" s="3"/>
      <c r="AL6" s="3"/>
      <c r="AM6" s="3"/>
      <c r="AN6" s="3"/>
    </row>
    <row r="7" spans="1:40" ht="19.350000000000001" customHeight="1">
      <c r="A7" s="8"/>
      <c r="B7" s="9" t="s">
        <v>7</v>
      </c>
      <c r="C7" s="68" t="s">
        <v>134</v>
      </c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7"/>
      <c r="AA7" s="67"/>
      <c r="AB7" s="67"/>
      <c r="AC7" s="67"/>
      <c r="AD7" s="67"/>
      <c r="AE7" s="67"/>
      <c r="AF7" s="67"/>
      <c r="AG7" s="67"/>
    </row>
    <row r="8" spans="1:40" ht="19.350000000000001" customHeight="1">
      <c r="A8" s="8"/>
      <c r="B8" s="15" t="s">
        <v>8</v>
      </c>
      <c r="C8" s="6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</row>
    <row r="9" spans="1:40" ht="19.350000000000001" customHeight="1">
      <c r="A9" s="8"/>
      <c r="B9" s="16" t="s">
        <v>9</v>
      </c>
      <c r="C9" s="68" t="s">
        <v>135</v>
      </c>
      <c r="D9" s="68"/>
      <c r="E9" s="68"/>
      <c r="F9" s="68"/>
      <c r="G9" s="68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</row>
    <row r="10" spans="1:40" ht="19.350000000000001" customHeight="1">
      <c r="A10" s="8"/>
      <c r="B10" s="17"/>
      <c r="C10" s="227"/>
      <c r="D10" s="227"/>
      <c r="E10" s="227"/>
      <c r="F10" s="227"/>
      <c r="G10" s="22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</row>
    <row r="11" spans="1:40" ht="19.350000000000001" customHeight="1">
      <c r="A11" s="8"/>
      <c r="B11" s="17"/>
      <c r="C11" s="227"/>
      <c r="D11" s="227"/>
      <c r="E11" s="227"/>
      <c r="F11" s="227"/>
      <c r="G11" s="22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</row>
    <row r="12" spans="1:40" ht="19.350000000000001" customHeight="1">
      <c r="A12" s="8"/>
      <c r="B12" s="6"/>
      <c r="C12" s="6"/>
      <c r="D12" s="1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</row>
    <row r="13" spans="1:40" ht="19.350000000000001" customHeight="1">
      <c r="A13" s="216" t="s">
        <v>119</v>
      </c>
      <c r="B13" s="217"/>
      <c r="C13" s="216" t="s">
        <v>11</v>
      </c>
      <c r="D13" s="217"/>
      <c r="E13" s="216" t="s">
        <v>12</v>
      </c>
      <c r="F13" s="217"/>
      <c r="G13" s="216" t="s">
        <v>13</v>
      </c>
      <c r="H13" s="242"/>
      <c r="I13" s="217"/>
      <c r="J13" s="247" t="s">
        <v>120</v>
      </c>
      <c r="K13" s="248"/>
      <c r="L13" s="248"/>
      <c r="M13" s="248"/>
      <c r="N13" s="248"/>
      <c r="O13" s="249"/>
      <c r="P13" s="224" t="s">
        <v>14</v>
      </c>
      <c r="Q13" s="226"/>
      <c r="R13" s="225"/>
      <c r="S13" s="257" t="s">
        <v>121</v>
      </c>
      <c r="T13" s="258"/>
      <c r="U13" s="258"/>
      <c r="V13" s="258"/>
      <c r="W13" s="258"/>
      <c r="X13" s="259"/>
      <c r="Y13" s="224" t="s">
        <v>122</v>
      </c>
      <c r="Z13" s="226"/>
      <c r="AA13" s="225"/>
      <c r="AB13" s="254" t="s">
        <v>123</v>
      </c>
      <c r="AC13" s="255"/>
      <c r="AD13" s="255"/>
      <c r="AE13" s="255"/>
      <c r="AF13" s="255"/>
      <c r="AG13" s="256"/>
    </row>
    <row r="14" spans="1:40" ht="19.350000000000001" customHeight="1">
      <c r="A14" s="240"/>
      <c r="B14" s="241"/>
      <c r="C14" s="240"/>
      <c r="D14" s="241"/>
      <c r="E14" s="240"/>
      <c r="F14" s="241"/>
      <c r="G14" s="240"/>
      <c r="H14" s="243"/>
      <c r="I14" s="241"/>
      <c r="J14" s="245" t="s">
        <v>15</v>
      </c>
      <c r="K14" s="247" t="s">
        <v>124</v>
      </c>
      <c r="L14" s="248"/>
      <c r="M14" s="248"/>
      <c r="N14" s="249"/>
      <c r="O14" s="245" t="s">
        <v>136</v>
      </c>
      <c r="P14" s="216" t="s">
        <v>14</v>
      </c>
      <c r="Q14" s="217"/>
      <c r="R14" s="250" t="s">
        <v>126</v>
      </c>
      <c r="S14" s="260" t="s">
        <v>15</v>
      </c>
      <c r="T14" s="257" t="s">
        <v>124</v>
      </c>
      <c r="U14" s="258"/>
      <c r="V14" s="258"/>
      <c r="W14" s="259"/>
      <c r="X14" s="260" t="s">
        <v>136</v>
      </c>
      <c r="Y14" s="216" t="s">
        <v>122</v>
      </c>
      <c r="Z14" s="217"/>
      <c r="AA14" s="250" t="s">
        <v>126</v>
      </c>
      <c r="AB14" s="252" t="s">
        <v>15</v>
      </c>
      <c r="AC14" s="254" t="s">
        <v>124</v>
      </c>
      <c r="AD14" s="255"/>
      <c r="AE14" s="255"/>
      <c r="AF14" s="256"/>
      <c r="AG14" s="252" t="s">
        <v>136</v>
      </c>
    </row>
    <row r="15" spans="1:40" ht="19.350000000000001" customHeight="1">
      <c r="A15" s="218"/>
      <c r="B15" s="219"/>
      <c r="C15" s="218"/>
      <c r="D15" s="219"/>
      <c r="E15" s="218"/>
      <c r="F15" s="219"/>
      <c r="G15" s="218"/>
      <c r="H15" s="244"/>
      <c r="I15" s="219"/>
      <c r="J15" s="246"/>
      <c r="K15" s="131" t="s">
        <v>127</v>
      </c>
      <c r="L15" s="131" t="s">
        <v>128</v>
      </c>
      <c r="M15" s="131" t="s">
        <v>129</v>
      </c>
      <c r="N15" s="131" t="s">
        <v>16</v>
      </c>
      <c r="O15" s="246"/>
      <c r="P15" s="218"/>
      <c r="Q15" s="219"/>
      <c r="R15" s="251"/>
      <c r="S15" s="261"/>
      <c r="T15" s="135" t="s">
        <v>127</v>
      </c>
      <c r="U15" s="135" t="s">
        <v>128</v>
      </c>
      <c r="V15" s="135" t="s">
        <v>129</v>
      </c>
      <c r="W15" s="135" t="s">
        <v>16</v>
      </c>
      <c r="X15" s="261"/>
      <c r="Y15" s="218"/>
      <c r="Z15" s="219"/>
      <c r="AA15" s="251"/>
      <c r="AB15" s="253"/>
      <c r="AC15" s="136" t="s">
        <v>127</v>
      </c>
      <c r="AD15" s="136" t="s">
        <v>128</v>
      </c>
      <c r="AE15" s="136" t="s">
        <v>129</v>
      </c>
      <c r="AF15" s="136" t="s">
        <v>16</v>
      </c>
      <c r="AG15" s="253"/>
    </row>
    <row r="16" spans="1:40" ht="57.75" customHeight="1">
      <c r="A16" s="208" t="s">
        <v>137</v>
      </c>
      <c r="B16" s="209"/>
      <c r="C16" s="208" t="s">
        <v>138</v>
      </c>
      <c r="D16" s="210"/>
      <c r="E16" s="223" t="s">
        <v>139</v>
      </c>
      <c r="F16" s="223"/>
      <c r="G16" s="223" t="s">
        <v>140</v>
      </c>
      <c r="H16" s="223"/>
      <c r="I16" s="223"/>
      <c r="J16" s="138">
        <v>2</v>
      </c>
      <c r="K16" s="138">
        <v>3</v>
      </c>
      <c r="L16" s="138">
        <v>3</v>
      </c>
      <c r="M16" s="138">
        <v>3</v>
      </c>
      <c r="N16" s="138">
        <v>3</v>
      </c>
      <c r="O16" s="145" t="s">
        <v>15</v>
      </c>
      <c r="P16" s="208" t="s">
        <v>141</v>
      </c>
      <c r="Q16" s="209"/>
      <c r="R16" s="134"/>
      <c r="S16" s="138">
        <v>2</v>
      </c>
      <c r="T16" s="138">
        <v>3</v>
      </c>
      <c r="U16" s="138">
        <v>3</v>
      </c>
      <c r="V16" s="138">
        <v>3</v>
      </c>
      <c r="W16" s="138">
        <v>3</v>
      </c>
      <c r="X16" s="145" t="s">
        <v>15</v>
      </c>
      <c r="Y16" s="208"/>
      <c r="Z16" s="209"/>
      <c r="AA16" s="134"/>
      <c r="AB16" s="138"/>
      <c r="AC16" s="138"/>
      <c r="AD16" s="138"/>
      <c r="AE16" s="138"/>
      <c r="AF16" s="138"/>
      <c r="AG16" s="150"/>
    </row>
    <row r="17" spans="1:33" ht="48.75" customHeight="1">
      <c r="A17" s="197" t="s">
        <v>137</v>
      </c>
      <c r="B17" s="198"/>
      <c r="C17" s="197" t="s">
        <v>138</v>
      </c>
      <c r="D17" s="198"/>
      <c r="E17" s="197" t="s">
        <v>142</v>
      </c>
      <c r="F17" s="198"/>
      <c r="G17" s="207" t="s">
        <v>143</v>
      </c>
      <c r="H17" s="207"/>
      <c r="I17" s="207"/>
      <c r="J17" s="139">
        <v>2</v>
      </c>
      <c r="K17" s="139">
        <v>4</v>
      </c>
      <c r="L17" s="139">
        <v>2</v>
      </c>
      <c r="M17" s="139">
        <v>2</v>
      </c>
      <c r="N17" s="139">
        <v>2</v>
      </c>
      <c r="O17" s="147" t="s">
        <v>109</v>
      </c>
      <c r="P17" s="197" t="s">
        <v>144</v>
      </c>
      <c r="Q17" s="198"/>
      <c r="R17" s="133"/>
      <c r="S17" s="139">
        <v>2</v>
      </c>
      <c r="T17" s="139">
        <v>4</v>
      </c>
      <c r="U17" s="139">
        <v>2</v>
      </c>
      <c r="V17" s="139">
        <v>2</v>
      </c>
      <c r="W17" s="139">
        <v>2</v>
      </c>
      <c r="X17" s="147" t="s">
        <v>109</v>
      </c>
      <c r="Y17" s="197" t="s">
        <v>145</v>
      </c>
      <c r="Z17" s="198"/>
      <c r="AA17" s="133"/>
      <c r="AB17" s="139">
        <v>2</v>
      </c>
      <c r="AC17" s="139">
        <v>2</v>
      </c>
      <c r="AD17" s="139">
        <v>2</v>
      </c>
      <c r="AE17" s="139">
        <v>2</v>
      </c>
      <c r="AF17" s="139">
        <v>2</v>
      </c>
      <c r="AG17" s="146" t="s">
        <v>15</v>
      </c>
    </row>
    <row r="18" spans="1:33" ht="100.5" customHeight="1">
      <c r="A18" s="197"/>
      <c r="B18" s="198"/>
      <c r="C18" s="197"/>
      <c r="D18" s="198"/>
      <c r="E18" s="197"/>
      <c r="F18" s="198"/>
      <c r="G18" s="207" t="s">
        <v>146</v>
      </c>
      <c r="H18" s="207"/>
      <c r="I18" s="207"/>
      <c r="J18" s="139">
        <v>3</v>
      </c>
      <c r="K18" s="139">
        <v>4</v>
      </c>
      <c r="L18" s="139">
        <v>2</v>
      </c>
      <c r="M18" s="139">
        <v>2</v>
      </c>
      <c r="N18" s="139">
        <v>2</v>
      </c>
      <c r="O18" s="148" t="s">
        <v>110</v>
      </c>
      <c r="P18" s="197" t="s">
        <v>147</v>
      </c>
      <c r="Q18" s="198"/>
      <c r="R18" s="133"/>
      <c r="S18" s="139">
        <v>3</v>
      </c>
      <c r="T18" s="139">
        <v>3</v>
      </c>
      <c r="U18" s="139">
        <v>2</v>
      </c>
      <c r="V18" s="139">
        <v>3</v>
      </c>
      <c r="W18" s="139">
        <v>2</v>
      </c>
      <c r="X18" s="147" t="s">
        <v>109</v>
      </c>
      <c r="Y18" s="197" t="s">
        <v>148</v>
      </c>
      <c r="Z18" s="198"/>
      <c r="AA18" s="133"/>
      <c r="AB18" s="139">
        <v>3</v>
      </c>
      <c r="AC18" s="139">
        <v>2</v>
      </c>
      <c r="AD18" s="139">
        <v>2</v>
      </c>
      <c r="AE18" s="139">
        <v>2</v>
      </c>
      <c r="AF18" s="139">
        <v>2</v>
      </c>
      <c r="AG18" s="146" t="s">
        <v>15</v>
      </c>
    </row>
    <row r="19" spans="1:33" ht="58.5" customHeight="1">
      <c r="A19" s="197" t="s">
        <v>137</v>
      </c>
      <c r="B19" s="198"/>
      <c r="C19" s="197" t="s">
        <v>138</v>
      </c>
      <c r="D19" s="198"/>
      <c r="E19" s="197" t="s">
        <v>149</v>
      </c>
      <c r="F19" s="198"/>
      <c r="G19" s="207" t="s">
        <v>150</v>
      </c>
      <c r="H19" s="207"/>
      <c r="I19" s="207"/>
      <c r="J19" s="139">
        <v>5</v>
      </c>
      <c r="K19" s="139">
        <v>2</v>
      </c>
      <c r="L19" s="139">
        <v>2</v>
      </c>
      <c r="M19" s="139">
        <v>5</v>
      </c>
      <c r="N19" s="139">
        <v>2</v>
      </c>
      <c r="O19" s="149" t="s">
        <v>111</v>
      </c>
      <c r="P19" s="197" t="s">
        <v>151</v>
      </c>
      <c r="Q19" s="198"/>
      <c r="R19" s="133"/>
      <c r="S19" s="139">
        <v>5</v>
      </c>
      <c r="T19" s="139">
        <v>2</v>
      </c>
      <c r="U19" s="139">
        <v>3</v>
      </c>
      <c r="V19" s="139">
        <v>3</v>
      </c>
      <c r="W19" s="139">
        <v>2</v>
      </c>
      <c r="X19" s="148" t="s">
        <v>110</v>
      </c>
      <c r="Y19" s="197" t="s">
        <v>152</v>
      </c>
      <c r="Z19" s="198"/>
      <c r="AA19" s="133"/>
      <c r="AB19" s="139">
        <v>5</v>
      </c>
      <c r="AC19" s="139">
        <v>2</v>
      </c>
      <c r="AD19" s="139">
        <v>2</v>
      </c>
      <c r="AE19" s="139">
        <v>2</v>
      </c>
      <c r="AF19" s="139">
        <v>2</v>
      </c>
      <c r="AG19" s="147" t="s">
        <v>109</v>
      </c>
    </row>
    <row r="20" spans="1:33" ht="59.25" customHeight="1">
      <c r="A20" s="197" t="s">
        <v>137</v>
      </c>
      <c r="B20" s="198"/>
      <c r="C20" s="197" t="s">
        <v>138</v>
      </c>
      <c r="D20" s="198"/>
      <c r="E20" s="197" t="s">
        <v>153</v>
      </c>
      <c r="F20" s="198"/>
      <c r="G20" s="207" t="s">
        <v>154</v>
      </c>
      <c r="H20" s="207"/>
      <c r="I20" s="207"/>
      <c r="J20" s="139">
        <v>2</v>
      </c>
      <c r="K20" s="139">
        <v>3</v>
      </c>
      <c r="L20" s="139">
        <v>3</v>
      </c>
      <c r="M20" s="139">
        <v>3</v>
      </c>
      <c r="N20" s="139">
        <v>3</v>
      </c>
      <c r="O20" s="146" t="s">
        <v>15</v>
      </c>
      <c r="P20" s="197" t="s">
        <v>155</v>
      </c>
      <c r="Q20" s="198"/>
      <c r="R20" s="133"/>
      <c r="S20" s="139">
        <v>2</v>
      </c>
      <c r="T20" s="139">
        <v>3</v>
      </c>
      <c r="U20" s="139">
        <v>3</v>
      </c>
      <c r="V20" s="139">
        <v>3</v>
      </c>
      <c r="W20" s="139">
        <v>3</v>
      </c>
      <c r="X20" s="146" t="s">
        <v>15</v>
      </c>
      <c r="Y20" s="197"/>
      <c r="Z20" s="198"/>
      <c r="AA20" s="133"/>
      <c r="AB20" s="139"/>
      <c r="AC20" s="139"/>
      <c r="AD20" s="139"/>
      <c r="AE20" s="139"/>
      <c r="AF20" s="139"/>
      <c r="AG20" s="139"/>
    </row>
    <row r="21" spans="1:33" ht="117" customHeight="1">
      <c r="A21" s="197" t="s">
        <v>137</v>
      </c>
      <c r="B21" s="198"/>
      <c r="C21" s="197" t="s">
        <v>138</v>
      </c>
      <c r="D21" s="198"/>
      <c r="E21" s="197" t="s">
        <v>156</v>
      </c>
      <c r="F21" s="198"/>
      <c r="G21" s="207" t="s">
        <v>157</v>
      </c>
      <c r="H21" s="207"/>
      <c r="I21" s="207"/>
      <c r="J21" s="139">
        <v>2</v>
      </c>
      <c r="K21" s="139">
        <v>3</v>
      </c>
      <c r="L21" s="139">
        <v>3</v>
      </c>
      <c r="M21" s="139">
        <v>3</v>
      </c>
      <c r="N21" s="139">
        <v>3</v>
      </c>
      <c r="O21" s="146" t="s">
        <v>15</v>
      </c>
      <c r="P21" s="197" t="s">
        <v>158</v>
      </c>
      <c r="Q21" s="198"/>
      <c r="R21" s="133"/>
      <c r="S21" s="139">
        <v>2</v>
      </c>
      <c r="T21" s="139">
        <v>3</v>
      </c>
      <c r="U21" s="139">
        <v>3</v>
      </c>
      <c r="V21" s="139">
        <v>3</v>
      </c>
      <c r="W21" s="139">
        <v>3</v>
      </c>
      <c r="X21" s="146" t="s">
        <v>15</v>
      </c>
      <c r="Y21" s="197" t="s">
        <v>159</v>
      </c>
      <c r="Z21" s="198"/>
      <c r="AA21" s="133"/>
      <c r="AB21" s="139">
        <v>2</v>
      </c>
      <c r="AC21" s="139">
        <v>3</v>
      </c>
      <c r="AD21" s="139">
        <v>3</v>
      </c>
      <c r="AE21" s="139">
        <v>3</v>
      </c>
      <c r="AF21" s="139">
        <v>3</v>
      </c>
      <c r="AG21" s="146" t="s">
        <v>15</v>
      </c>
    </row>
    <row r="22" spans="1:33" ht="72.75" customHeight="1">
      <c r="A22" s="197" t="s">
        <v>137</v>
      </c>
      <c r="B22" s="198"/>
      <c r="C22" s="197" t="s">
        <v>138</v>
      </c>
      <c r="D22" s="198"/>
      <c r="E22" s="197" t="s">
        <v>160</v>
      </c>
      <c r="F22" s="198"/>
      <c r="G22" s="207" t="s">
        <v>161</v>
      </c>
      <c r="H22" s="207"/>
      <c r="I22" s="207"/>
      <c r="J22" s="139">
        <v>2</v>
      </c>
      <c r="K22" s="139">
        <v>3</v>
      </c>
      <c r="L22" s="139">
        <v>3</v>
      </c>
      <c r="M22" s="139">
        <v>3</v>
      </c>
      <c r="N22" s="139">
        <v>3</v>
      </c>
      <c r="O22" s="146" t="s">
        <v>15</v>
      </c>
      <c r="P22" s="197" t="s">
        <v>162</v>
      </c>
      <c r="Q22" s="198"/>
      <c r="R22" s="133"/>
      <c r="S22" s="139">
        <v>2</v>
      </c>
      <c r="T22" s="139">
        <v>3</v>
      </c>
      <c r="U22" s="139">
        <v>3</v>
      </c>
      <c r="V22" s="139">
        <v>3</v>
      </c>
      <c r="W22" s="139">
        <v>3</v>
      </c>
      <c r="X22" s="146" t="s">
        <v>15</v>
      </c>
      <c r="Y22" s="197" t="s">
        <v>163</v>
      </c>
      <c r="Z22" s="198"/>
      <c r="AA22" s="133"/>
      <c r="AB22" s="139">
        <v>2</v>
      </c>
      <c r="AC22" s="139">
        <v>3</v>
      </c>
      <c r="AD22" s="139">
        <v>3</v>
      </c>
      <c r="AE22" s="139">
        <v>3</v>
      </c>
      <c r="AF22" s="139">
        <v>3</v>
      </c>
      <c r="AG22" s="146" t="s">
        <v>15</v>
      </c>
    </row>
    <row r="23" spans="1:33" ht="34.5" customHeight="1">
      <c r="A23" s="197" t="s">
        <v>164</v>
      </c>
      <c r="B23" s="198"/>
      <c r="C23" s="197" t="s">
        <v>165</v>
      </c>
      <c r="D23" s="198"/>
      <c r="E23" s="207" t="s">
        <v>166</v>
      </c>
      <c r="F23" s="207"/>
      <c r="G23" s="207"/>
      <c r="H23" s="207"/>
      <c r="I23" s="207"/>
      <c r="J23" s="139"/>
      <c r="K23" s="139"/>
      <c r="L23" s="139"/>
      <c r="M23" s="139"/>
      <c r="N23" s="139"/>
      <c r="O23" s="139"/>
      <c r="P23" s="197"/>
      <c r="Q23" s="198"/>
      <c r="R23" s="133"/>
      <c r="S23" s="139"/>
      <c r="T23" s="139"/>
      <c r="U23" s="139"/>
      <c r="V23" s="139"/>
      <c r="W23" s="139"/>
      <c r="X23" s="139"/>
      <c r="Y23" s="197"/>
      <c r="Z23" s="198"/>
      <c r="AA23" s="133"/>
      <c r="AB23" s="139"/>
      <c r="AC23" s="139"/>
      <c r="AD23" s="139"/>
      <c r="AE23" s="139"/>
      <c r="AF23" s="139"/>
      <c r="AG23" s="139"/>
    </row>
    <row r="24" spans="1:33" ht="84" customHeight="1">
      <c r="A24" s="197" t="s">
        <v>167</v>
      </c>
      <c r="B24" s="198"/>
      <c r="C24" s="207" t="s">
        <v>168</v>
      </c>
      <c r="D24" s="197"/>
      <c r="E24" s="207" t="s">
        <v>169</v>
      </c>
      <c r="F24" s="207"/>
      <c r="G24" s="207" t="s">
        <v>170</v>
      </c>
      <c r="H24" s="207"/>
      <c r="I24" s="207"/>
      <c r="J24" s="139">
        <v>2</v>
      </c>
      <c r="K24" s="139">
        <v>4</v>
      </c>
      <c r="L24" s="139">
        <v>4</v>
      </c>
      <c r="M24" s="139">
        <v>4</v>
      </c>
      <c r="N24" s="139">
        <v>4</v>
      </c>
      <c r="O24" s="147" t="s">
        <v>109</v>
      </c>
      <c r="P24" s="197" t="s">
        <v>171</v>
      </c>
      <c r="Q24" s="198"/>
      <c r="R24" s="133"/>
      <c r="S24" s="139">
        <v>2</v>
      </c>
      <c r="T24" s="139">
        <v>4</v>
      </c>
      <c r="U24" s="139">
        <v>4</v>
      </c>
      <c r="V24" s="139">
        <v>4</v>
      </c>
      <c r="W24" s="139">
        <v>4</v>
      </c>
      <c r="X24" s="147" t="s">
        <v>109</v>
      </c>
      <c r="Y24" s="197" t="s">
        <v>172</v>
      </c>
      <c r="Z24" s="198"/>
      <c r="AA24" s="133"/>
      <c r="AB24" s="139">
        <v>2</v>
      </c>
      <c r="AC24" s="139">
        <v>3</v>
      </c>
      <c r="AD24" s="139">
        <v>1</v>
      </c>
      <c r="AE24" s="139">
        <v>1</v>
      </c>
      <c r="AF24" s="139">
        <v>3</v>
      </c>
      <c r="AG24" s="146" t="s">
        <v>15</v>
      </c>
    </row>
    <row r="25" spans="1:33" ht="33.75" customHeight="1">
      <c r="A25" s="197" t="s">
        <v>173</v>
      </c>
      <c r="B25" s="198"/>
      <c r="C25" s="197" t="s">
        <v>174</v>
      </c>
      <c r="D25" s="198"/>
      <c r="E25" s="207" t="s">
        <v>175</v>
      </c>
      <c r="F25" s="207"/>
      <c r="G25" s="207"/>
      <c r="H25" s="207"/>
      <c r="I25" s="207"/>
      <c r="J25" s="139"/>
      <c r="K25" s="139"/>
      <c r="L25" s="139"/>
      <c r="M25" s="139"/>
      <c r="N25" s="139"/>
      <c r="O25" s="139"/>
      <c r="P25" s="197"/>
      <c r="Q25" s="198"/>
      <c r="R25" s="133"/>
      <c r="S25" s="139"/>
      <c r="T25" s="139"/>
      <c r="U25" s="139"/>
      <c r="V25" s="139"/>
      <c r="W25" s="139"/>
      <c r="X25" s="139"/>
      <c r="Y25" s="197"/>
      <c r="Z25" s="198"/>
      <c r="AA25" s="133"/>
      <c r="AB25" s="139"/>
      <c r="AC25" s="139"/>
      <c r="AD25" s="139"/>
      <c r="AE25" s="139"/>
      <c r="AF25" s="139"/>
      <c r="AG25" s="139"/>
    </row>
    <row r="26" spans="1:33" ht="95.25" customHeight="1">
      <c r="A26" s="197" t="s">
        <v>176</v>
      </c>
      <c r="B26" s="198"/>
      <c r="C26" s="197" t="s">
        <v>177</v>
      </c>
      <c r="D26" s="198"/>
      <c r="E26" s="207" t="s">
        <v>178</v>
      </c>
      <c r="F26" s="207"/>
      <c r="G26" s="207" t="s">
        <v>179</v>
      </c>
      <c r="H26" s="207"/>
      <c r="I26" s="207"/>
      <c r="J26" s="139">
        <v>2</v>
      </c>
      <c r="K26" s="139">
        <v>4</v>
      </c>
      <c r="L26" s="139">
        <v>4</v>
      </c>
      <c r="M26" s="139">
        <v>4</v>
      </c>
      <c r="N26" s="139">
        <v>4</v>
      </c>
      <c r="O26" s="147" t="s">
        <v>109</v>
      </c>
      <c r="P26" s="197" t="s">
        <v>180</v>
      </c>
      <c r="Q26" s="198"/>
      <c r="R26" s="133"/>
      <c r="S26" s="139">
        <v>2</v>
      </c>
      <c r="T26" s="139">
        <v>4</v>
      </c>
      <c r="U26" s="139">
        <v>4</v>
      </c>
      <c r="V26" s="139">
        <v>4</v>
      </c>
      <c r="W26" s="139">
        <v>4</v>
      </c>
      <c r="X26" s="147" t="s">
        <v>109</v>
      </c>
      <c r="Y26" s="197" t="s">
        <v>181</v>
      </c>
      <c r="Z26" s="198"/>
      <c r="AA26" s="133"/>
      <c r="AB26" s="139">
        <v>2</v>
      </c>
      <c r="AC26" s="139">
        <v>1</v>
      </c>
      <c r="AD26" s="139">
        <v>1</v>
      </c>
      <c r="AE26" s="139">
        <v>1</v>
      </c>
      <c r="AF26" s="139">
        <v>1</v>
      </c>
      <c r="AG26" s="146" t="s">
        <v>15</v>
      </c>
    </row>
    <row r="27" spans="1:33" ht="36" customHeight="1">
      <c r="A27" s="197" t="s">
        <v>182</v>
      </c>
      <c r="B27" s="198"/>
      <c r="C27" s="197" t="s">
        <v>183</v>
      </c>
      <c r="D27" s="198"/>
      <c r="E27" s="207" t="s">
        <v>184</v>
      </c>
      <c r="F27" s="207"/>
      <c r="G27" s="207"/>
      <c r="H27" s="207"/>
      <c r="I27" s="207"/>
      <c r="J27" s="139"/>
      <c r="K27" s="139"/>
      <c r="L27" s="139"/>
      <c r="M27" s="139"/>
      <c r="N27" s="139"/>
      <c r="O27" s="139"/>
      <c r="P27" s="197"/>
      <c r="Q27" s="198"/>
      <c r="R27" s="133"/>
      <c r="S27" s="139"/>
      <c r="T27" s="139"/>
      <c r="U27" s="139"/>
      <c r="V27" s="139"/>
      <c r="W27" s="139"/>
      <c r="X27" s="139"/>
      <c r="Y27" s="197"/>
      <c r="Z27" s="198"/>
      <c r="AA27" s="133"/>
      <c r="AB27" s="139"/>
      <c r="AC27" s="139"/>
      <c r="AD27" s="139"/>
      <c r="AE27" s="139"/>
      <c r="AF27" s="139"/>
      <c r="AG27" s="139"/>
    </row>
    <row r="28" spans="1:33" ht="19.350000000000001" customHeight="1">
      <c r="A28" s="200"/>
      <c r="B28" s="201"/>
      <c r="C28" s="202"/>
      <c r="D28" s="203"/>
      <c r="E28" s="202"/>
      <c r="F28" s="203"/>
      <c r="G28" s="202"/>
      <c r="H28" s="215"/>
      <c r="I28" s="203"/>
      <c r="J28" s="140"/>
      <c r="K28" s="141"/>
      <c r="L28" s="142"/>
      <c r="M28" s="141"/>
      <c r="N28" s="143"/>
      <c r="O28" s="144"/>
      <c r="P28" s="200"/>
      <c r="Q28" s="201"/>
      <c r="R28" s="132"/>
      <c r="S28" s="140"/>
      <c r="T28" s="141"/>
      <c r="U28" s="142"/>
      <c r="V28" s="141"/>
      <c r="W28" s="143"/>
      <c r="X28" s="144"/>
      <c r="Y28" s="200"/>
      <c r="Z28" s="201"/>
      <c r="AA28" s="132"/>
      <c r="AB28" s="140"/>
      <c r="AC28" s="141"/>
      <c r="AD28" s="142"/>
      <c r="AE28" s="141"/>
      <c r="AF28" s="143"/>
      <c r="AG28" s="141"/>
    </row>
    <row r="29" spans="1:33" ht="18.75" customHeight="1"/>
  </sheetData>
  <mergeCells count="110">
    <mergeCell ref="V3:Y3"/>
    <mergeCell ref="C3:E3"/>
    <mergeCell ref="H3:K3"/>
    <mergeCell ref="M3:N3"/>
    <mergeCell ref="O3:R3"/>
    <mergeCell ref="S3:U3"/>
    <mergeCell ref="Y16:Z16"/>
    <mergeCell ref="X14:X15"/>
    <mergeCell ref="Y14:Z15"/>
    <mergeCell ref="AA14:AA15"/>
    <mergeCell ref="C4:E4"/>
    <mergeCell ref="C5:Y5"/>
    <mergeCell ref="C10:G10"/>
    <mergeCell ref="C11:G11"/>
    <mergeCell ref="AB14:AB15"/>
    <mergeCell ref="AC14:AF14"/>
    <mergeCell ref="AG14:AG15"/>
    <mergeCell ref="S13:X13"/>
    <mergeCell ref="Y13:AA13"/>
    <mergeCell ref="AB13:AG13"/>
    <mergeCell ref="S14:S15"/>
    <mergeCell ref="T14:W14"/>
    <mergeCell ref="K14:N14"/>
    <mergeCell ref="O14:O15"/>
    <mergeCell ref="P14:Q15"/>
    <mergeCell ref="R14:R15"/>
    <mergeCell ref="J13:O13"/>
    <mergeCell ref="P13:R13"/>
    <mergeCell ref="A13:B15"/>
    <mergeCell ref="C13:D15"/>
    <mergeCell ref="E13:F15"/>
    <mergeCell ref="G13:I15"/>
    <mergeCell ref="J14:J15"/>
    <mergeCell ref="Y18:Z18"/>
    <mergeCell ref="A17:B17"/>
    <mergeCell ref="C17:D17"/>
    <mergeCell ref="E17:F17"/>
    <mergeCell ref="G17:I17"/>
    <mergeCell ref="P17:Q17"/>
    <mergeCell ref="Y17:Z17"/>
    <mergeCell ref="A18:B18"/>
    <mergeCell ref="C18:D18"/>
    <mergeCell ref="E18:F18"/>
    <mergeCell ref="G18:I18"/>
    <mergeCell ref="P18:Q18"/>
    <mergeCell ref="A16:B16"/>
    <mergeCell ref="C16:D16"/>
    <mergeCell ref="E16:F16"/>
    <mergeCell ref="G16:I16"/>
    <mergeCell ref="P16:Q16"/>
    <mergeCell ref="Y20:Z20"/>
    <mergeCell ref="A19:B19"/>
    <mergeCell ref="C19:D19"/>
    <mergeCell ref="E19:F19"/>
    <mergeCell ref="G19:I19"/>
    <mergeCell ref="P19:Q19"/>
    <mergeCell ref="Y19:Z19"/>
    <mergeCell ref="A20:B20"/>
    <mergeCell ref="C20:D20"/>
    <mergeCell ref="E20:F20"/>
    <mergeCell ref="G20:I20"/>
    <mergeCell ref="P20:Q20"/>
    <mergeCell ref="Y22:Z22"/>
    <mergeCell ref="A21:B21"/>
    <mergeCell ref="C21:D21"/>
    <mergeCell ref="E21:F21"/>
    <mergeCell ref="G21:I21"/>
    <mergeCell ref="P21:Q21"/>
    <mergeCell ref="Y21:Z21"/>
    <mergeCell ref="A22:B22"/>
    <mergeCell ref="C22:D22"/>
    <mergeCell ref="E22:F22"/>
    <mergeCell ref="G22:I22"/>
    <mergeCell ref="P22:Q22"/>
    <mergeCell ref="Y24:Z24"/>
    <mergeCell ref="A23:B23"/>
    <mergeCell ref="C23:D23"/>
    <mergeCell ref="E23:F23"/>
    <mergeCell ref="G23:I23"/>
    <mergeCell ref="P23:Q23"/>
    <mergeCell ref="Y23:Z23"/>
    <mergeCell ref="A24:B24"/>
    <mergeCell ref="C24:D24"/>
    <mergeCell ref="E24:F24"/>
    <mergeCell ref="G24:I24"/>
    <mergeCell ref="P24:Q24"/>
    <mergeCell ref="Y26:Z26"/>
    <mergeCell ref="A25:B25"/>
    <mergeCell ref="C25:D25"/>
    <mergeCell ref="E25:F25"/>
    <mergeCell ref="G25:I25"/>
    <mergeCell ref="P25:Q25"/>
    <mergeCell ref="Y25:Z25"/>
    <mergeCell ref="A26:B26"/>
    <mergeCell ref="C26:D26"/>
    <mergeCell ref="E26:F26"/>
    <mergeCell ref="G26:I26"/>
    <mergeCell ref="P26:Q26"/>
    <mergeCell ref="Y28:Z28"/>
    <mergeCell ref="A27:B27"/>
    <mergeCell ref="C27:D27"/>
    <mergeCell ref="E27:F27"/>
    <mergeCell ref="G27:I27"/>
    <mergeCell ref="P27:Q27"/>
    <mergeCell ref="Y27:Z27"/>
    <mergeCell ref="A28:B28"/>
    <mergeCell ref="C28:D28"/>
    <mergeCell ref="E28:F28"/>
    <mergeCell ref="G28:I28"/>
    <mergeCell ref="P28:Q28"/>
  </mergeCells>
  <dataValidations count="13">
    <dataValidation type="list" errorStyle="information" allowBlank="1" showInputMessage="1" showErrorMessage="1" sqref="C16" xr:uid="{509FF8ED-55C6-4259-A6A6-A65A3B499B3A}">
      <formula1>INDIRECT($A$16)</formula1>
    </dataValidation>
    <dataValidation type="list" errorStyle="information" allowBlank="1" showInputMessage="1" showErrorMessage="1" sqref="C17" xr:uid="{AD18ABFB-30A4-4BFF-A82A-C0DA6A5DC85A}">
      <formula1>INDIRECT($A$17)</formula1>
    </dataValidation>
    <dataValidation type="list" allowBlank="1" showInputMessage="1" showErrorMessage="1" sqref="A16:B28" xr:uid="{9ED52AC8-B4F3-47A4-82A1-294DAE131FD9}">
      <formula1>GW</formula1>
    </dataValidation>
    <dataValidation type="list" errorStyle="information" allowBlank="1" showInputMessage="1" showErrorMessage="1" sqref="C18" xr:uid="{49418151-E6D9-4B0A-8C25-E9856999AA41}">
      <formula1>INDIRECT($A$18)</formula1>
    </dataValidation>
    <dataValidation type="list" errorStyle="information" allowBlank="1" showInputMessage="1" showErrorMessage="1" sqref="C19" xr:uid="{C0EA63ED-C866-41ED-866F-397AEA3A352B}">
      <formula1>INDIRECT($A$19)</formula1>
    </dataValidation>
    <dataValidation type="list" errorStyle="information" allowBlank="1" showInputMessage="1" showErrorMessage="1" sqref="C20" xr:uid="{72EA1F16-F2B9-4264-B534-B13EF92306A2}">
      <formula1>INDIRECT($A$20)</formula1>
    </dataValidation>
    <dataValidation type="list" errorStyle="information" allowBlank="1" showInputMessage="1" showErrorMessage="1" sqref="C21" xr:uid="{09A4C9DD-07D1-4F2E-9BC4-8B51441E1D77}">
      <formula1>INDIRECT($A$21)</formula1>
    </dataValidation>
    <dataValidation type="list" errorStyle="information" allowBlank="1" showInputMessage="1" showErrorMessage="1" sqref="C22" xr:uid="{9A182037-B04E-4A89-982A-E3676BC6E770}">
      <formula1>INDIRECT($A$22)</formula1>
    </dataValidation>
    <dataValidation type="list" errorStyle="information" allowBlank="1" showInputMessage="1" showErrorMessage="1" sqref="C23" xr:uid="{EF36899D-649F-489E-9205-E8817C87CCC9}">
      <formula1>INDIRECT($A$23)</formula1>
    </dataValidation>
    <dataValidation type="list" errorStyle="information" allowBlank="1" showInputMessage="1" showErrorMessage="1" sqref="C24" xr:uid="{17D67453-9B31-4194-992F-A4A1BE429995}">
      <formula1>INDIRECT($A$24)</formula1>
    </dataValidation>
    <dataValidation type="list" errorStyle="information" allowBlank="1" showInputMessage="1" showErrorMessage="1" sqref="C25" xr:uid="{FC381689-4D46-4D99-BDB9-2A1F068E1D62}">
      <formula1>INDIRECT($A$25)</formula1>
    </dataValidation>
    <dataValidation type="list" errorStyle="information" allowBlank="1" showInputMessage="1" showErrorMessage="1" sqref="C26" xr:uid="{F11E492F-1110-499C-AF6F-0541C3E371F0}">
      <formula1>INDIRECT($A$26)</formula1>
    </dataValidation>
    <dataValidation type="list" errorStyle="information" allowBlank="1" showInputMessage="1" showErrorMessage="1" sqref="C27" xr:uid="{B9D08B9F-8379-4A7F-ADF8-354DC3936021}">
      <formula1>INDIRECT($A$27)</formula1>
    </dataValidation>
  </dataValidations>
  <pageMargins left="9.375E-2" right="1.0416666666666666E-2" top="0.75" bottom="0.48958333333333331" header="0.3" footer="0.3"/>
  <pageSetup paperSize="9" scale="47" orientation="landscape"/>
  <headerFooter>
    <oddHeader>&amp;C&amp;"Arial,Bold"&amp;16PTTGC HAZOP Worksheet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8" r:id="rId3" name="Check Box 6">
              <controlPr defaultSize="0" autoFill="0" autoLine="0" autoPict="0" altText="">
                <anchor moveWithCells="1">
                  <from>
                    <xdr:col>17</xdr:col>
                    <xdr:colOff>144780</xdr:colOff>
                    <xdr:row>15</xdr:row>
                    <xdr:rowOff>0</xdr:rowOff>
                  </from>
                  <to>
                    <xdr:col>17</xdr:col>
                    <xdr:colOff>381000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4" name="Check Box 8">
              <controlPr defaultSize="0" autoFill="0" autoLine="0" autoPict="0" altText="">
                <anchor moveWithCells="1">
                  <from>
                    <xdr:col>17</xdr:col>
                    <xdr:colOff>144780</xdr:colOff>
                    <xdr:row>16</xdr:row>
                    <xdr:rowOff>0</xdr:rowOff>
                  </from>
                  <to>
                    <xdr:col>17</xdr:col>
                    <xdr:colOff>381000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5" name="Check Box 9">
              <controlPr defaultSize="0" autoFill="0" autoLine="0" autoPict="0" altText="">
                <anchor moveWithCells="1">
                  <from>
                    <xdr:col>17</xdr:col>
                    <xdr:colOff>144780</xdr:colOff>
                    <xdr:row>17</xdr:row>
                    <xdr:rowOff>0</xdr:rowOff>
                  </from>
                  <to>
                    <xdr:col>17</xdr:col>
                    <xdr:colOff>381000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6" name="Check Box 10">
              <controlPr defaultSize="0" autoFill="0" autoLine="0" autoPict="0" altText="">
                <anchor moveWithCells="1">
                  <from>
                    <xdr:col>17</xdr:col>
                    <xdr:colOff>144780</xdr:colOff>
                    <xdr:row>18</xdr:row>
                    <xdr:rowOff>0</xdr:rowOff>
                  </from>
                  <to>
                    <xdr:col>17</xdr:col>
                    <xdr:colOff>381000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7" name="Check Box 11">
              <controlPr defaultSize="0" autoFill="0" autoLine="0" autoPict="0" altText="">
                <anchor moveWithCells="1">
                  <from>
                    <xdr:col>17</xdr:col>
                    <xdr:colOff>144780</xdr:colOff>
                    <xdr:row>19</xdr:row>
                    <xdr:rowOff>0</xdr:rowOff>
                  </from>
                  <to>
                    <xdr:col>17</xdr:col>
                    <xdr:colOff>381000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8" name="Check Box 12">
              <controlPr defaultSize="0" autoFill="0" autoLine="0" autoPict="0" altText="">
                <anchor moveWithCells="1">
                  <from>
                    <xdr:col>17</xdr:col>
                    <xdr:colOff>144780</xdr:colOff>
                    <xdr:row>20</xdr:row>
                    <xdr:rowOff>0</xdr:rowOff>
                  </from>
                  <to>
                    <xdr:col>17</xdr:col>
                    <xdr:colOff>381000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altText="">
                <anchor moveWithCells="1">
                  <from>
                    <xdr:col>17</xdr:col>
                    <xdr:colOff>144780</xdr:colOff>
                    <xdr:row>21</xdr:row>
                    <xdr:rowOff>0</xdr:rowOff>
                  </from>
                  <to>
                    <xdr:col>17</xdr:col>
                    <xdr:colOff>381000</xdr:colOff>
                    <xdr:row>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10" name="Check Box 14">
              <controlPr defaultSize="0" autoFill="0" autoLine="0" autoPict="0" altText="">
                <anchor moveWithCells="1">
                  <from>
                    <xdr:col>17</xdr:col>
                    <xdr:colOff>144780</xdr:colOff>
                    <xdr:row>22</xdr:row>
                    <xdr:rowOff>0</xdr:rowOff>
                  </from>
                  <to>
                    <xdr:col>17</xdr:col>
                    <xdr:colOff>381000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1" name="Check Box 15">
              <controlPr defaultSize="0" autoFill="0" autoLine="0" autoPict="0" altText="">
                <anchor moveWithCells="1">
                  <from>
                    <xdr:col>17</xdr:col>
                    <xdr:colOff>144780</xdr:colOff>
                    <xdr:row>23</xdr:row>
                    <xdr:rowOff>0</xdr:rowOff>
                  </from>
                  <to>
                    <xdr:col>17</xdr:col>
                    <xdr:colOff>381000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2" name="Check Box 16">
              <controlPr defaultSize="0" autoFill="0" autoLine="0" autoPict="0" altText="">
                <anchor moveWithCells="1">
                  <from>
                    <xdr:col>17</xdr:col>
                    <xdr:colOff>144780</xdr:colOff>
                    <xdr:row>24</xdr:row>
                    <xdr:rowOff>0</xdr:rowOff>
                  </from>
                  <to>
                    <xdr:col>17</xdr:col>
                    <xdr:colOff>381000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9" r:id="rId13" name="Check Box 17">
              <controlPr defaultSize="0" autoFill="0" autoLine="0" autoPict="0" altText="">
                <anchor moveWithCells="1">
                  <from>
                    <xdr:col>17</xdr:col>
                    <xdr:colOff>144780</xdr:colOff>
                    <xdr:row>25</xdr:row>
                    <xdr:rowOff>0</xdr:rowOff>
                  </from>
                  <to>
                    <xdr:col>17</xdr:col>
                    <xdr:colOff>381000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4" name="Check Box 18">
              <controlPr defaultSize="0" autoFill="0" autoLine="0" autoPict="0" altText="">
                <anchor moveWithCells="1">
                  <from>
                    <xdr:col>17</xdr:col>
                    <xdr:colOff>144780</xdr:colOff>
                    <xdr:row>26</xdr:row>
                    <xdr:rowOff>0</xdr:rowOff>
                  </from>
                  <to>
                    <xdr:col>17</xdr:col>
                    <xdr:colOff>381000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15" name="Check Box 19">
              <controlPr defaultSize="0" autoFill="0" autoLine="0" autoPict="0" altText="">
                <anchor moveWithCells="1">
                  <from>
                    <xdr:col>26</xdr:col>
                    <xdr:colOff>144780</xdr:colOff>
                    <xdr:row>15</xdr:row>
                    <xdr:rowOff>0</xdr:rowOff>
                  </from>
                  <to>
                    <xdr:col>26</xdr:col>
                    <xdr:colOff>381000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16" name="Check Box 20">
              <controlPr defaultSize="0" autoFill="0" autoLine="0" autoPict="0" altText="">
                <anchor moveWithCells="1">
                  <from>
                    <xdr:col>26</xdr:col>
                    <xdr:colOff>144780</xdr:colOff>
                    <xdr:row>16</xdr:row>
                    <xdr:rowOff>0</xdr:rowOff>
                  </from>
                  <to>
                    <xdr:col>26</xdr:col>
                    <xdr:colOff>381000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17" name="Check Box 21">
              <controlPr defaultSize="0" autoFill="0" autoLine="0" autoPict="0" altText="">
                <anchor moveWithCells="1">
                  <from>
                    <xdr:col>26</xdr:col>
                    <xdr:colOff>144780</xdr:colOff>
                    <xdr:row>17</xdr:row>
                    <xdr:rowOff>0</xdr:rowOff>
                  </from>
                  <to>
                    <xdr:col>26</xdr:col>
                    <xdr:colOff>381000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18" name="Check Box 22">
              <controlPr defaultSize="0" autoFill="0" autoLine="0" autoPict="0" altText="">
                <anchor moveWithCells="1">
                  <from>
                    <xdr:col>26</xdr:col>
                    <xdr:colOff>144780</xdr:colOff>
                    <xdr:row>18</xdr:row>
                    <xdr:rowOff>0</xdr:rowOff>
                  </from>
                  <to>
                    <xdr:col>26</xdr:col>
                    <xdr:colOff>381000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19" name="Check Box 23">
              <controlPr defaultSize="0" autoFill="0" autoLine="0" autoPict="0" altText="">
                <anchor moveWithCells="1">
                  <from>
                    <xdr:col>26</xdr:col>
                    <xdr:colOff>144780</xdr:colOff>
                    <xdr:row>19</xdr:row>
                    <xdr:rowOff>0</xdr:rowOff>
                  </from>
                  <to>
                    <xdr:col>26</xdr:col>
                    <xdr:colOff>381000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20" name="Check Box 24">
              <controlPr defaultSize="0" autoFill="0" autoLine="0" autoPict="0" altText="">
                <anchor moveWithCells="1">
                  <from>
                    <xdr:col>26</xdr:col>
                    <xdr:colOff>144780</xdr:colOff>
                    <xdr:row>20</xdr:row>
                    <xdr:rowOff>0</xdr:rowOff>
                  </from>
                  <to>
                    <xdr:col>26</xdr:col>
                    <xdr:colOff>381000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1" name="Check Box 25">
              <controlPr defaultSize="0" autoFill="0" autoLine="0" autoPict="0" altText="">
                <anchor moveWithCells="1">
                  <from>
                    <xdr:col>26</xdr:col>
                    <xdr:colOff>144780</xdr:colOff>
                    <xdr:row>21</xdr:row>
                    <xdr:rowOff>0</xdr:rowOff>
                  </from>
                  <to>
                    <xdr:col>26</xdr:col>
                    <xdr:colOff>381000</xdr:colOff>
                    <xdr:row>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2" name="Check Box 26">
              <controlPr defaultSize="0" autoFill="0" autoLine="0" autoPict="0" altText="">
                <anchor moveWithCells="1">
                  <from>
                    <xdr:col>26</xdr:col>
                    <xdr:colOff>144780</xdr:colOff>
                    <xdr:row>22</xdr:row>
                    <xdr:rowOff>0</xdr:rowOff>
                  </from>
                  <to>
                    <xdr:col>26</xdr:col>
                    <xdr:colOff>381000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9" r:id="rId23" name="Check Box 27">
              <controlPr defaultSize="0" autoFill="0" autoLine="0" autoPict="0" altText="">
                <anchor moveWithCells="1">
                  <from>
                    <xdr:col>26</xdr:col>
                    <xdr:colOff>144780</xdr:colOff>
                    <xdr:row>23</xdr:row>
                    <xdr:rowOff>0</xdr:rowOff>
                  </from>
                  <to>
                    <xdr:col>26</xdr:col>
                    <xdr:colOff>381000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0" r:id="rId24" name="Check Box 28">
              <controlPr defaultSize="0" autoFill="0" autoLine="0" autoPict="0" altText="">
                <anchor moveWithCells="1">
                  <from>
                    <xdr:col>26</xdr:col>
                    <xdr:colOff>144780</xdr:colOff>
                    <xdr:row>24</xdr:row>
                    <xdr:rowOff>0</xdr:rowOff>
                  </from>
                  <to>
                    <xdr:col>26</xdr:col>
                    <xdr:colOff>381000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1" r:id="rId25" name="Check Box 29">
              <controlPr defaultSize="0" autoFill="0" autoLine="0" autoPict="0" altText="">
                <anchor moveWithCells="1">
                  <from>
                    <xdr:col>26</xdr:col>
                    <xdr:colOff>144780</xdr:colOff>
                    <xdr:row>25</xdr:row>
                    <xdr:rowOff>0</xdr:rowOff>
                  </from>
                  <to>
                    <xdr:col>26</xdr:col>
                    <xdr:colOff>381000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2" r:id="rId26" name="Check Box 30">
              <controlPr defaultSize="0" autoFill="0" autoLine="0" autoPict="0" altText="">
                <anchor moveWithCells="1">
                  <from>
                    <xdr:col>26</xdr:col>
                    <xdr:colOff>144780</xdr:colOff>
                    <xdr:row>26</xdr:row>
                    <xdr:rowOff>0</xdr:rowOff>
                  </from>
                  <to>
                    <xdr:col>26</xdr:col>
                    <xdr:colOff>381000</xdr:colOff>
                    <xdr:row>26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"/>
  <sheetViews>
    <sheetView zoomScaleNormal="100" workbookViewId="0">
      <selection activeCell="P20" sqref="P20"/>
    </sheetView>
  </sheetViews>
  <sheetFormatPr defaultRowHeight="14.4"/>
  <sheetData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Y28"/>
  <sheetViews>
    <sheetView showGridLines="0" zoomScaleNormal="100" workbookViewId="0">
      <selection activeCell="V21" sqref="V21"/>
    </sheetView>
  </sheetViews>
  <sheetFormatPr defaultColWidth="11.33203125" defaultRowHeight="14.4"/>
  <cols>
    <col min="1" max="8" width="7.88671875" customWidth="1"/>
    <col min="9" max="9" width="8" customWidth="1"/>
    <col min="10" max="13" width="7.88671875" customWidth="1"/>
    <col min="14" max="14" width="8.6640625" customWidth="1"/>
    <col min="15" max="15" width="6.109375" customWidth="1"/>
    <col min="16" max="16" width="7.88671875" customWidth="1"/>
    <col min="17" max="17" width="8.88671875" customWidth="1"/>
    <col min="18" max="18" width="7.88671875" customWidth="1"/>
    <col min="19" max="117" width="9.88671875" customWidth="1"/>
  </cols>
  <sheetData>
    <row r="1" spans="1:25" ht="19.350000000000001" customHeight="1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U1" s="3"/>
      <c r="V1" s="3"/>
      <c r="W1" s="3"/>
      <c r="X1" s="3"/>
      <c r="Y1" s="3"/>
    </row>
    <row r="2" spans="1:25" ht="19.350000000000001" customHeight="1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U2" s="3"/>
      <c r="V2" s="3"/>
      <c r="W2" s="3"/>
      <c r="X2" s="3"/>
      <c r="Y2" s="3"/>
    </row>
    <row r="3" spans="1:25" ht="19.350000000000001" customHeight="1">
      <c r="A3" s="8"/>
      <c r="B3" s="9" t="s">
        <v>0</v>
      </c>
      <c r="C3" s="191"/>
      <c r="D3" s="191"/>
      <c r="E3" s="191"/>
      <c r="F3" s="8"/>
      <c r="G3" s="9" t="s">
        <v>1</v>
      </c>
      <c r="H3" s="191"/>
      <c r="I3" s="191"/>
      <c r="J3" s="191"/>
      <c r="K3" s="9" t="s">
        <v>2</v>
      </c>
      <c r="L3" s="191"/>
      <c r="M3" s="191"/>
      <c r="N3" s="191"/>
      <c r="O3" s="8"/>
      <c r="P3" s="9" t="s">
        <v>3</v>
      </c>
      <c r="Q3" s="228"/>
      <c r="R3" s="228"/>
      <c r="U3" s="3"/>
      <c r="V3" s="3"/>
      <c r="W3" s="3"/>
      <c r="X3" s="3"/>
      <c r="Y3" s="3"/>
    </row>
    <row r="4" spans="1:25" ht="19.350000000000001" customHeight="1">
      <c r="A4" s="8"/>
      <c r="B4" s="9" t="s">
        <v>4</v>
      </c>
      <c r="C4" s="11"/>
      <c r="D4" s="12"/>
      <c r="E4" s="12"/>
      <c r="F4" s="13"/>
      <c r="G4" s="13"/>
      <c r="H4" s="5"/>
      <c r="I4" s="14"/>
      <c r="J4" s="14"/>
      <c r="K4" s="5"/>
      <c r="L4" s="5"/>
      <c r="M4" s="6"/>
      <c r="N4" s="6"/>
      <c r="O4" s="6"/>
      <c r="P4" s="6"/>
      <c r="Q4" s="6"/>
      <c r="R4" s="6"/>
      <c r="U4" s="3"/>
      <c r="V4" s="3"/>
      <c r="W4" s="3"/>
      <c r="X4" s="3"/>
      <c r="Y4" s="3"/>
    </row>
    <row r="5" spans="1:25" ht="19.350000000000001" customHeight="1">
      <c r="A5" s="8"/>
      <c r="B5" s="9" t="s">
        <v>5</v>
      </c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72"/>
      <c r="U5" s="3"/>
      <c r="V5" s="3"/>
      <c r="W5" s="3"/>
      <c r="X5" s="3"/>
      <c r="Y5" s="3"/>
    </row>
    <row r="6" spans="1:25" ht="19.350000000000001" customHeight="1">
      <c r="A6" s="8"/>
      <c r="B6" s="15" t="s">
        <v>6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U6" s="3"/>
      <c r="V6" s="3"/>
      <c r="W6" s="3"/>
      <c r="X6" s="3"/>
      <c r="Y6" s="3"/>
    </row>
    <row r="7" spans="1:25" ht="19.350000000000001" customHeight="1">
      <c r="A7" s="8"/>
      <c r="B7" s="9" t="s">
        <v>7</v>
      </c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</row>
    <row r="8" spans="1:25" ht="19.350000000000001" customHeight="1">
      <c r="A8" s="8"/>
      <c r="B8" s="15" t="s">
        <v>8</v>
      </c>
      <c r="C8" s="6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6"/>
      <c r="Q8" s="6"/>
      <c r="R8" s="6"/>
    </row>
    <row r="9" spans="1:25" ht="19.350000000000001" customHeight="1">
      <c r="A9" s="8"/>
      <c r="B9" s="16" t="s">
        <v>9</v>
      </c>
      <c r="C9" s="172"/>
      <c r="D9" s="172"/>
      <c r="E9" s="172"/>
      <c r="F9" s="172"/>
      <c r="G9" s="172"/>
      <c r="H9" s="6"/>
      <c r="I9" s="6"/>
      <c r="J9" s="6"/>
      <c r="K9" s="6"/>
      <c r="L9" s="6"/>
      <c r="M9" s="6"/>
      <c r="N9" s="6"/>
      <c r="O9" s="6"/>
      <c r="P9" s="9"/>
      <c r="Q9" s="6"/>
      <c r="R9" s="6"/>
    </row>
    <row r="10" spans="1:25" ht="19.350000000000001" customHeight="1">
      <c r="A10" s="8"/>
      <c r="B10" s="17"/>
      <c r="C10" s="227"/>
      <c r="D10" s="227"/>
      <c r="E10" s="227"/>
      <c r="F10" s="227"/>
      <c r="G10" s="22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</row>
    <row r="11" spans="1:25" ht="19.350000000000001" customHeight="1">
      <c r="A11" s="8"/>
      <c r="B11" s="17"/>
      <c r="C11" s="227"/>
      <c r="D11" s="227"/>
      <c r="E11" s="227"/>
      <c r="F11" s="227"/>
      <c r="G11" s="22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</row>
    <row r="12" spans="1:25" ht="19.350000000000001" customHeight="1">
      <c r="A12" s="8"/>
      <c r="B12" s="6"/>
      <c r="C12" s="6"/>
      <c r="D12" s="1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</row>
    <row r="13" spans="1:25" ht="14.25" customHeight="1">
      <c r="A13" s="280" t="s">
        <v>10</v>
      </c>
      <c r="B13" s="281"/>
      <c r="C13" s="269" t="s">
        <v>11</v>
      </c>
      <c r="D13" s="270"/>
      <c r="E13" s="269" t="s">
        <v>12</v>
      </c>
      <c r="F13" s="270"/>
      <c r="G13" s="269" t="s">
        <v>13</v>
      </c>
      <c r="H13" s="271"/>
      <c r="I13" s="270"/>
      <c r="J13" s="269" t="s">
        <v>14</v>
      </c>
      <c r="K13" s="271"/>
      <c r="L13" s="270"/>
      <c r="M13" s="69" t="s">
        <v>15</v>
      </c>
      <c r="N13" s="69" t="s">
        <v>16</v>
      </c>
      <c r="O13" s="70" t="s">
        <v>17</v>
      </c>
      <c r="P13" s="269" t="s">
        <v>18</v>
      </c>
      <c r="Q13" s="270"/>
      <c r="R13" s="70" t="s">
        <v>19</v>
      </c>
    </row>
    <row r="14" spans="1:25" ht="14.25" customHeight="1">
      <c r="A14" s="282"/>
      <c r="B14" s="283"/>
      <c r="C14" s="269" t="s">
        <v>20</v>
      </c>
      <c r="D14" s="270"/>
      <c r="E14" s="269" t="s">
        <v>21</v>
      </c>
      <c r="F14" s="270"/>
      <c r="G14" s="269" t="s">
        <v>22</v>
      </c>
      <c r="H14" s="271"/>
      <c r="I14" s="270"/>
      <c r="J14" s="269" t="s">
        <v>23</v>
      </c>
      <c r="K14" s="271"/>
      <c r="L14" s="270"/>
      <c r="M14" s="69" t="s">
        <v>24</v>
      </c>
      <c r="N14" s="69" t="s">
        <v>25</v>
      </c>
      <c r="O14" s="71" t="s">
        <v>26</v>
      </c>
      <c r="P14" s="269" t="s">
        <v>27</v>
      </c>
      <c r="Q14" s="270"/>
      <c r="R14" s="71" t="s">
        <v>28</v>
      </c>
    </row>
    <row r="15" spans="1:25" ht="19.350000000000001" customHeight="1">
      <c r="A15" s="208"/>
      <c r="B15" s="209"/>
      <c r="C15" s="208"/>
      <c r="D15" s="210"/>
      <c r="E15" s="275"/>
      <c r="F15" s="276"/>
      <c r="G15" s="275"/>
      <c r="H15" s="276"/>
      <c r="I15" s="276"/>
      <c r="J15" s="275"/>
      <c r="K15" s="276"/>
      <c r="L15" s="277"/>
      <c r="M15" s="23"/>
      <c r="N15" s="23"/>
      <c r="O15" s="24" t="str">
        <f t="shared" ref="O15:O26" si="0">IF(AND(M15&lt;&gt;"",M15&gt;0,N15&lt;&gt;"",N15&gt;0),INDEX(RiskRankMatrixw,M15,N15),"")</f>
        <v/>
      </c>
      <c r="P15" s="278"/>
      <c r="Q15" s="279"/>
      <c r="R15" s="72"/>
    </row>
    <row r="16" spans="1:25" ht="19.350000000000001" customHeight="1">
      <c r="A16" s="197"/>
      <c r="B16" s="198"/>
      <c r="C16" s="197"/>
      <c r="D16" s="198"/>
      <c r="E16" s="263"/>
      <c r="F16" s="264"/>
      <c r="G16" s="265"/>
      <c r="H16" s="266"/>
      <c r="I16" s="266"/>
      <c r="J16" s="265"/>
      <c r="K16" s="266"/>
      <c r="L16" s="266"/>
      <c r="M16" s="27"/>
      <c r="N16" s="27"/>
      <c r="O16" s="28" t="str">
        <f t="shared" si="0"/>
        <v/>
      </c>
      <c r="P16" s="263"/>
      <c r="Q16" s="264"/>
      <c r="R16" s="74"/>
    </row>
    <row r="17" spans="1:18" ht="19.350000000000001" customHeight="1">
      <c r="A17" s="197"/>
      <c r="B17" s="198"/>
      <c r="C17" s="197"/>
      <c r="D17" s="198"/>
      <c r="E17" s="263"/>
      <c r="F17" s="264"/>
      <c r="G17" s="265"/>
      <c r="H17" s="266"/>
      <c r="I17" s="266"/>
      <c r="J17" s="265"/>
      <c r="K17" s="266"/>
      <c r="L17" s="266"/>
      <c r="M17" s="27"/>
      <c r="N17" s="27"/>
      <c r="O17" s="28" t="str">
        <f t="shared" si="0"/>
        <v/>
      </c>
      <c r="P17" s="263"/>
      <c r="Q17" s="264"/>
      <c r="R17" s="74"/>
    </row>
    <row r="18" spans="1:18" ht="19.350000000000001" customHeight="1">
      <c r="A18" s="197"/>
      <c r="B18" s="198"/>
      <c r="C18" s="197"/>
      <c r="D18" s="198"/>
      <c r="E18" s="263"/>
      <c r="F18" s="264"/>
      <c r="G18" s="265"/>
      <c r="H18" s="266"/>
      <c r="I18" s="266"/>
      <c r="J18" s="265"/>
      <c r="K18" s="266"/>
      <c r="L18" s="266"/>
      <c r="M18" s="27"/>
      <c r="N18" s="27"/>
      <c r="O18" s="28" t="str">
        <f t="shared" si="0"/>
        <v/>
      </c>
      <c r="P18" s="263"/>
      <c r="Q18" s="264"/>
      <c r="R18" s="74"/>
    </row>
    <row r="19" spans="1:18" ht="19.350000000000001" customHeight="1">
      <c r="A19" s="197"/>
      <c r="B19" s="198"/>
      <c r="C19" s="197"/>
      <c r="D19" s="198"/>
      <c r="E19" s="263"/>
      <c r="F19" s="264"/>
      <c r="G19" s="265"/>
      <c r="H19" s="266"/>
      <c r="I19" s="266"/>
      <c r="J19" s="265"/>
      <c r="K19" s="266"/>
      <c r="L19" s="266"/>
      <c r="M19" s="27"/>
      <c r="N19" s="27"/>
      <c r="O19" s="28" t="str">
        <f t="shared" si="0"/>
        <v/>
      </c>
      <c r="P19" s="263"/>
      <c r="Q19" s="264"/>
      <c r="R19" s="74"/>
    </row>
    <row r="20" spans="1:18" ht="19.350000000000001" customHeight="1">
      <c r="A20" s="197"/>
      <c r="B20" s="198"/>
      <c r="C20" s="197"/>
      <c r="D20" s="198"/>
      <c r="E20" s="263"/>
      <c r="F20" s="264"/>
      <c r="G20" s="265"/>
      <c r="H20" s="266"/>
      <c r="I20" s="266"/>
      <c r="J20" s="265"/>
      <c r="K20" s="266"/>
      <c r="L20" s="266"/>
      <c r="M20" s="27"/>
      <c r="N20" s="27"/>
      <c r="O20" s="28" t="str">
        <f t="shared" si="0"/>
        <v/>
      </c>
      <c r="P20" s="263"/>
      <c r="Q20" s="264"/>
      <c r="R20" s="74"/>
    </row>
    <row r="21" spans="1:18" ht="19.350000000000001" customHeight="1">
      <c r="A21" s="197"/>
      <c r="B21" s="198"/>
      <c r="C21" s="197"/>
      <c r="D21" s="198"/>
      <c r="E21" s="263"/>
      <c r="F21" s="264"/>
      <c r="G21" s="265"/>
      <c r="H21" s="266"/>
      <c r="I21" s="266"/>
      <c r="J21" s="265"/>
      <c r="K21" s="266"/>
      <c r="L21" s="266"/>
      <c r="M21" s="27"/>
      <c r="N21" s="27"/>
      <c r="O21" s="28" t="str">
        <f t="shared" si="0"/>
        <v/>
      </c>
      <c r="P21" s="263"/>
      <c r="Q21" s="264"/>
      <c r="R21" s="74"/>
    </row>
    <row r="22" spans="1:18" ht="19.350000000000001" customHeight="1">
      <c r="A22" s="197"/>
      <c r="B22" s="198"/>
      <c r="C22" s="197"/>
      <c r="D22" s="198"/>
      <c r="E22" s="265"/>
      <c r="F22" s="266"/>
      <c r="G22" s="265"/>
      <c r="H22" s="266"/>
      <c r="I22" s="266"/>
      <c r="J22" s="265"/>
      <c r="K22" s="266"/>
      <c r="L22" s="266"/>
      <c r="M22" s="27"/>
      <c r="N22" s="27"/>
      <c r="O22" s="28" t="str">
        <f t="shared" si="0"/>
        <v/>
      </c>
      <c r="P22" s="263"/>
      <c r="Q22" s="268"/>
      <c r="R22" s="74"/>
    </row>
    <row r="23" spans="1:18" ht="19.350000000000001" customHeight="1">
      <c r="A23" s="197"/>
      <c r="B23" s="198"/>
      <c r="C23" s="207"/>
      <c r="D23" s="197"/>
      <c r="E23" s="265"/>
      <c r="F23" s="266"/>
      <c r="G23" s="265"/>
      <c r="H23" s="265"/>
      <c r="I23" s="265"/>
      <c r="J23" s="265"/>
      <c r="K23" s="265"/>
      <c r="L23" s="265"/>
      <c r="M23" s="27"/>
      <c r="N23" s="27"/>
      <c r="O23" s="28" t="str">
        <f t="shared" si="0"/>
        <v/>
      </c>
      <c r="P23" s="263"/>
      <c r="Q23" s="264"/>
      <c r="R23" s="73"/>
    </row>
    <row r="24" spans="1:18" ht="19.350000000000001" customHeight="1">
      <c r="A24" s="197"/>
      <c r="B24" s="198"/>
      <c r="C24" s="197"/>
      <c r="D24" s="198"/>
      <c r="E24" s="265"/>
      <c r="F24" s="266"/>
      <c r="G24" s="265"/>
      <c r="H24" s="265"/>
      <c r="I24" s="265"/>
      <c r="J24" s="265"/>
      <c r="K24" s="266"/>
      <c r="L24" s="267"/>
      <c r="M24" s="27"/>
      <c r="N24" s="27"/>
      <c r="O24" s="28" t="str">
        <f t="shared" si="0"/>
        <v/>
      </c>
      <c r="P24" s="263"/>
      <c r="Q24" s="268"/>
      <c r="R24" s="74"/>
    </row>
    <row r="25" spans="1:18" ht="19.350000000000001" customHeight="1">
      <c r="A25" s="197"/>
      <c r="B25" s="198"/>
      <c r="C25" s="197"/>
      <c r="D25" s="198"/>
      <c r="E25" s="265"/>
      <c r="F25" s="266"/>
      <c r="G25" s="265"/>
      <c r="H25" s="265"/>
      <c r="I25" s="265"/>
      <c r="J25" s="265"/>
      <c r="K25" s="266"/>
      <c r="L25" s="267"/>
      <c r="M25" s="27"/>
      <c r="N25" s="27"/>
      <c r="O25" s="28" t="str">
        <f t="shared" si="0"/>
        <v/>
      </c>
      <c r="P25" s="263"/>
      <c r="Q25" s="268"/>
      <c r="R25" s="74"/>
    </row>
    <row r="26" spans="1:18" ht="19.350000000000001" customHeight="1">
      <c r="A26" s="197"/>
      <c r="B26" s="198"/>
      <c r="C26" s="197"/>
      <c r="D26" s="198"/>
      <c r="E26" s="265"/>
      <c r="F26" s="266"/>
      <c r="G26" s="265"/>
      <c r="H26" s="265"/>
      <c r="I26" s="265"/>
      <c r="J26" s="265"/>
      <c r="K26" s="266"/>
      <c r="L26" s="266"/>
      <c r="M26" s="27"/>
      <c r="N26" s="27"/>
      <c r="O26" s="28" t="str">
        <f t="shared" si="0"/>
        <v/>
      </c>
      <c r="P26" s="263"/>
      <c r="Q26" s="264"/>
      <c r="R26" s="74"/>
    </row>
    <row r="27" spans="1:18" ht="19.350000000000001" customHeight="1">
      <c r="A27" s="200"/>
      <c r="B27" s="201"/>
      <c r="C27" s="202"/>
      <c r="D27" s="203"/>
      <c r="E27" s="272"/>
      <c r="F27" s="273"/>
      <c r="G27" s="272"/>
      <c r="H27" s="238"/>
      <c r="I27" s="273"/>
      <c r="J27" s="272"/>
      <c r="K27" s="238"/>
      <c r="L27" s="273"/>
      <c r="M27" s="30"/>
      <c r="N27" s="30"/>
      <c r="O27" s="31"/>
      <c r="P27" s="274"/>
      <c r="Q27" s="273"/>
      <c r="R27" s="75"/>
    </row>
    <row r="28" spans="1:18" ht="18.75" customHeight="1"/>
  </sheetData>
  <mergeCells count="98">
    <mergeCell ref="A13:B14"/>
    <mergeCell ref="L3:N3"/>
    <mergeCell ref="Q3:R3"/>
    <mergeCell ref="C5:R5"/>
    <mergeCell ref="C7:R7"/>
    <mergeCell ref="C9:G9"/>
    <mergeCell ref="C26:D26"/>
    <mergeCell ref="E26:F26"/>
    <mergeCell ref="G26:I26"/>
    <mergeCell ref="C3:E3"/>
    <mergeCell ref="H3:J3"/>
    <mergeCell ref="C10:G10"/>
    <mergeCell ref="C11:G11"/>
    <mergeCell ref="J16:L16"/>
    <mergeCell ref="J23:L23"/>
    <mergeCell ref="C23:D23"/>
    <mergeCell ref="E23:F23"/>
    <mergeCell ref="G23:I23"/>
    <mergeCell ref="E22:F22"/>
    <mergeCell ref="G22:I22"/>
    <mergeCell ref="C24:D24"/>
    <mergeCell ref="J26:L26"/>
    <mergeCell ref="A27:B27"/>
    <mergeCell ref="A20:B20"/>
    <mergeCell ref="C20:D20"/>
    <mergeCell ref="E20:F20"/>
    <mergeCell ref="G20:I20"/>
    <mergeCell ref="A23:B23"/>
    <mergeCell ref="A24:B24"/>
    <mergeCell ref="A25:B25"/>
    <mergeCell ref="A26:B26"/>
    <mergeCell ref="C27:D27"/>
    <mergeCell ref="E27:F27"/>
    <mergeCell ref="G27:I27"/>
    <mergeCell ref="E21:F21"/>
    <mergeCell ref="G21:I21"/>
    <mergeCell ref="C21:D21"/>
    <mergeCell ref="E24:F24"/>
    <mergeCell ref="A16:B16"/>
    <mergeCell ref="A17:B17"/>
    <mergeCell ref="A19:B19"/>
    <mergeCell ref="A18:B18"/>
    <mergeCell ref="C18:D18"/>
    <mergeCell ref="C16:D16"/>
    <mergeCell ref="A21:B21"/>
    <mergeCell ref="A22:B22"/>
    <mergeCell ref="J20:L20"/>
    <mergeCell ref="P20:Q20"/>
    <mergeCell ref="C17:D17"/>
    <mergeCell ref="E17:F17"/>
    <mergeCell ref="G17:I17"/>
    <mergeCell ref="G19:I19"/>
    <mergeCell ref="J19:L19"/>
    <mergeCell ref="E18:F18"/>
    <mergeCell ref="G18:I18"/>
    <mergeCell ref="P19:Q19"/>
    <mergeCell ref="C19:D19"/>
    <mergeCell ref="E19:F19"/>
    <mergeCell ref="P17:Q17"/>
    <mergeCell ref="J21:L21"/>
    <mergeCell ref="J27:L27"/>
    <mergeCell ref="P27:Q27"/>
    <mergeCell ref="A15:B15"/>
    <mergeCell ref="G13:I13"/>
    <mergeCell ref="J13:L13"/>
    <mergeCell ref="C15:D15"/>
    <mergeCell ref="E15:F15"/>
    <mergeCell ref="C13:D13"/>
    <mergeCell ref="E13:F13"/>
    <mergeCell ref="P13:Q13"/>
    <mergeCell ref="G15:I15"/>
    <mergeCell ref="J15:L15"/>
    <mergeCell ref="P15:Q15"/>
    <mergeCell ref="C22:D22"/>
    <mergeCell ref="P16:Q16"/>
    <mergeCell ref="J18:L18"/>
    <mergeCell ref="E16:F16"/>
    <mergeCell ref="G16:I16"/>
    <mergeCell ref="J17:L17"/>
    <mergeCell ref="P18:Q18"/>
    <mergeCell ref="C14:D14"/>
    <mergeCell ref="E14:F14"/>
    <mergeCell ref="G14:I14"/>
    <mergeCell ref="J14:L14"/>
    <mergeCell ref="P14:Q14"/>
    <mergeCell ref="C25:D25"/>
    <mergeCell ref="G24:I24"/>
    <mergeCell ref="J24:L24"/>
    <mergeCell ref="P24:Q24"/>
    <mergeCell ref="P21:Q21"/>
    <mergeCell ref="J22:L22"/>
    <mergeCell ref="P22:Q22"/>
    <mergeCell ref="P23:Q23"/>
    <mergeCell ref="P26:Q26"/>
    <mergeCell ref="E25:F25"/>
    <mergeCell ref="G25:I25"/>
    <mergeCell ref="J25:L25"/>
    <mergeCell ref="P25:Q25"/>
  </mergeCells>
  <dataValidations count="1">
    <dataValidation type="list" allowBlank="1" showInputMessage="1" showErrorMessage="1" sqref="A15:B27" xr:uid="{00000000-0002-0000-0900-000000000000}">
      <formula1>GW</formula1>
    </dataValidation>
  </dataValidations>
  <pageMargins left="9.375E-2" right="1.0416666666666666E-2" top="0.75" bottom="0.48958333333333331" header="0.3" footer="0.3"/>
  <pageSetup paperSize="9" fitToHeight="0" orientation="landscape"/>
  <headerFooter>
    <oddHeader>&amp;C&amp;"Arial,Bold"&amp;16PTTGC HAZOP Worksheet</oddHeader>
  </headerFooter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pageSetUpPr fitToPage="1"/>
  </sheetPr>
  <dimension ref="A1:Z61"/>
  <sheetViews>
    <sheetView showGridLines="0" zoomScaleNormal="100" workbookViewId="0">
      <selection activeCell="AC16" sqref="AC16"/>
    </sheetView>
  </sheetViews>
  <sheetFormatPr defaultColWidth="11.33203125" defaultRowHeight="14.4"/>
  <cols>
    <col min="1" max="1" width="3.6640625" customWidth="1"/>
    <col min="2" max="4" width="11.6640625" customWidth="1"/>
    <col min="5" max="5" width="10.44140625" hidden="1" customWidth="1"/>
    <col min="6" max="6" width="15.33203125" customWidth="1"/>
    <col min="7" max="7" width="8.88671875" customWidth="1"/>
    <col min="8" max="8" width="7.6640625" customWidth="1"/>
    <col min="9" max="10" width="9.33203125" customWidth="1"/>
    <col min="11" max="11" width="12.88671875" customWidth="1"/>
    <col min="12" max="12" width="10.33203125" customWidth="1"/>
    <col min="13" max="13" width="6" customWidth="1"/>
    <col min="14" max="14" width="10.88671875" customWidth="1"/>
    <col min="15" max="15" width="11.44140625" hidden="1" customWidth="1"/>
    <col min="16" max="18" width="9.109375" hidden="1" customWidth="1"/>
    <col min="19" max="19" width="33.6640625" hidden="1" customWidth="1"/>
    <col min="20" max="20" width="17.6640625" hidden="1" customWidth="1"/>
    <col min="21" max="26" width="11.33203125" hidden="1" customWidth="1"/>
  </cols>
  <sheetData>
    <row r="1" spans="1:14" ht="18" customHeight="1">
      <c r="A1" s="34" t="s">
        <v>185</v>
      </c>
      <c r="B1" s="2"/>
      <c r="C1" s="2"/>
    </row>
    <row r="2" spans="1:14" ht="18" customHeight="1">
      <c r="B2" s="32" t="s">
        <v>29</v>
      </c>
      <c r="C2" s="229"/>
      <c r="D2" s="229"/>
      <c r="E2" s="229"/>
      <c r="F2" s="229"/>
      <c r="G2" s="229"/>
      <c r="H2" s="229"/>
      <c r="I2" s="229"/>
      <c r="J2" s="229"/>
      <c r="K2" s="229"/>
      <c r="L2" s="77"/>
      <c r="M2" s="77"/>
      <c r="N2" s="77"/>
    </row>
    <row r="3" spans="1:14" ht="18" customHeight="1">
      <c r="B3" s="78" t="s">
        <v>30</v>
      </c>
      <c r="C3" s="285" t="s">
        <v>114</v>
      </c>
      <c r="D3" s="285"/>
      <c r="E3" s="285"/>
      <c r="F3" s="285"/>
      <c r="G3" s="285"/>
      <c r="H3" s="285"/>
      <c r="I3" s="285"/>
      <c r="J3" s="285"/>
      <c r="K3" s="285"/>
      <c r="L3" s="285"/>
      <c r="M3" s="285"/>
      <c r="N3" s="285"/>
    </row>
    <row r="4" spans="1:14" ht="18" customHeight="1">
      <c r="B4" s="79"/>
      <c r="C4" s="284"/>
      <c r="D4" s="284"/>
      <c r="E4" s="284"/>
      <c r="F4" s="284"/>
      <c r="G4" s="284"/>
      <c r="H4" s="284"/>
      <c r="I4" s="284"/>
      <c r="J4" s="284"/>
      <c r="K4" s="284"/>
      <c r="L4" s="284"/>
      <c r="M4" s="284"/>
      <c r="N4" s="284"/>
    </row>
    <row r="5" spans="1:14" ht="18" customHeight="1">
      <c r="A5" s="80" t="s">
        <v>31</v>
      </c>
      <c r="D5" s="6"/>
    </row>
    <row r="6" spans="1:14" ht="18" customHeight="1"/>
    <row r="7" spans="1:14" ht="18" customHeight="1">
      <c r="A7" s="81" t="s">
        <v>32</v>
      </c>
      <c r="B7" s="286" t="s">
        <v>19</v>
      </c>
      <c r="C7" s="286"/>
      <c r="D7" s="286"/>
      <c r="E7" s="286" t="s">
        <v>33</v>
      </c>
      <c r="F7" s="286"/>
      <c r="G7" s="286"/>
      <c r="H7" s="82" t="s">
        <v>34</v>
      </c>
      <c r="I7" s="286" t="s">
        <v>35</v>
      </c>
      <c r="J7" s="286"/>
      <c r="K7" s="82" t="s">
        <v>36</v>
      </c>
      <c r="L7" s="83" t="s">
        <v>37</v>
      </c>
      <c r="M7" s="84" t="s">
        <v>38</v>
      </c>
      <c r="N7" s="85" t="s">
        <v>39</v>
      </c>
    </row>
    <row r="8" spans="1:14" ht="18" customHeight="1">
      <c r="A8" s="86"/>
      <c r="B8" s="234" t="s">
        <v>40</v>
      </c>
      <c r="C8" s="234"/>
      <c r="D8" s="234"/>
      <c r="E8" s="235" t="s">
        <v>41</v>
      </c>
      <c r="F8" s="235"/>
      <c r="G8" s="235"/>
      <c r="H8" s="87" t="s">
        <v>42</v>
      </c>
      <c r="I8" s="234" t="s">
        <v>43</v>
      </c>
      <c r="J8" s="234"/>
      <c r="K8" s="41" t="s">
        <v>44</v>
      </c>
      <c r="L8" s="88" t="s">
        <v>186</v>
      </c>
      <c r="M8" s="89" t="s">
        <v>45</v>
      </c>
      <c r="N8" s="90"/>
    </row>
    <row r="9" spans="1:14" ht="18" customHeight="1">
      <c r="A9" s="91"/>
      <c r="B9" s="92"/>
      <c r="C9" s="93"/>
      <c r="D9" s="94"/>
      <c r="E9" s="49" t="s">
        <v>46</v>
      </c>
      <c r="F9" s="49" t="s">
        <v>47</v>
      </c>
      <c r="G9" s="49" t="s">
        <v>48</v>
      </c>
      <c r="H9" s="49" t="s">
        <v>49</v>
      </c>
      <c r="I9" s="236" t="s">
        <v>50</v>
      </c>
      <c r="J9" s="236"/>
      <c r="K9" s="49" t="s">
        <v>51</v>
      </c>
      <c r="L9" s="95" t="s">
        <v>52</v>
      </c>
      <c r="M9" s="96"/>
      <c r="N9" s="97"/>
    </row>
    <row r="10" spans="1:14" ht="18" customHeight="1">
      <c r="A10" s="53"/>
      <c r="B10" s="230"/>
      <c r="C10" s="231"/>
      <c r="D10" s="232"/>
      <c r="E10" s="54"/>
      <c r="F10" s="54"/>
      <c r="G10" s="55"/>
      <c r="H10" s="76"/>
      <c r="I10" s="230"/>
      <c r="J10" s="232"/>
      <c r="K10" s="54"/>
      <c r="L10" s="57"/>
      <c r="M10" s="58"/>
      <c r="N10" s="59"/>
    </row>
    <row r="11" spans="1:14" ht="18" customHeight="1">
      <c r="A11" s="53"/>
      <c r="B11" s="230"/>
      <c r="C11" s="231"/>
      <c r="D11" s="232"/>
      <c r="E11" s="54"/>
      <c r="F11" s="54"/>
      <c r="G11" s="55"/>
      <c r="H11" s="76"/>
      <c r="I11" s="230"/>
      <c r="J11" s="232"/>
      <c r="K11" s="54"/>
      <c r="L11" s="57"/>
      <c r="M11" s="58"/>
      <c r="N11" s="59"/>
    </row>
    <row r="12" spans="1:14" ht="18" customHeight="1">
      <c r="A12" s="53"/>
      <c r="B12" s="230"/>
      <c r="C12" s="231"/>
      <c r="D12" s="232"/>
      <c r="E12" s="54"/>
      <c r="F12" s="54"/>
      <c r="G12" s="55"/>
      <c r="H12" s="76"/>
      <c r="I12" s="230"/>
      <c r="J12" s="232"/>
      <c r="K12" s="54"/>
      <c r="L12" s="57"/>
      <c r="M12" s="58"/>
      <c r="N12" s="59"/>
    </row>
    <row r="13" spans="1:14" ht="18" customHeight="1">
      <c r="A13" s="53"/>
      <c r="B13" s="230"/>
      <c r="C13" s="231"/>
      <c r="D13" s="232"/>
      <c r="E13" s="54"/>
      <c r="F13" s="54"/>
      <c r="G13" s="55"/>
      <c r="H13" s="76"/>
      <c r="I13" s="230"/>
      <c r="J13" s="232"/>
      <c r="K13" s="54"/>
      <c r="L13" s="57"/>
      <c r="M13" s="58"/>
      <c r="N13" s="59"/>
    </row>
    <row r="14" spans="1:14" ht="18" customHeight="1">
      <c r="A14" s="53"/>
      <c r="B14" s="230"/>
      <c r="C14" s="231"/>
      <c r="D14" s="232"/>
      <c r="E14" s="54"/>
      <c r="F14" s="54"/>
      <c r="G14" s="55"/>
      <c r="H14" s="76"/>
      <c r="I14" s="230"/>
      <c r="J14" s="232"/>
      <c r="K14" s="54"/>
      <c r="L14" s="57"/>
      <c r="M14" s="58"/>
      <c r="N14" s="59"/>
    </row>
    <row r="15" spans="1:14" ht="18" customHeight="1">
      <c r="A15" s="53"/>
      <c r="B15" s="230"/>
      <c r="C15" s="231"/>
      <c r="D15" s="232"/>
      <c r="E15" s="54"/>
      <c r="F15" s="54"/>
      <c r="G15" s="55"/>
      <c r="H15" s="76"/>
      <c r="I15" s="230"/>
      <c r="J15" s="232"/>
      <c r="K15" s="54"/>
      <c r="L15" s="57"/>
      <c r="M15" s="58"/>
      <c r="N15" s="59"/>
    </row>
    <row r="16" spans="1:14" ht="18" customHeight="1">
      <c r="A16" s="53"/>
      <c r="B16" s="230"/>
      <c r="C16" s="231"/>
      <c r="D16" s="232"/>
      <c r="E16" s="54"/>
      <c r="F16" s="54"/>
      <c r="G16" s="55"/>
      <c r="H16" s="76"/>
      <c r="I16" s="230"/>
      <c r="J16" s="232"/>
      <c r="K16" s="54"/>
      <c r="L16" s="57"/>
      <c r="M16" s="58"/>
      <c r="N16" s="59"/>
    </row>
    <row r="17" spans="1:14" ht="18" customHeight="1">
      <c r="A17" s="53"/>
      <c r="B17" s="230"/>
      <c r="C17" s="231"/>
      <c r="D17" s="232"/>
      <c r="E17" s="54"/>
      <c r="F17" s="54"/>
      <c r="G17" s="55"/>
      <c r="H17" s="76"/>
      <c r="I17" s="230"/>
      <c r="J17" s="232"/>
      <c r="K17" s="54"/>
      <c r="L17" s="57"/>
      <c r="M17" s="58"/>
      <c r="N17" s="59"/>
    </row>
    <row r="18" spans="1:14" ht="18" customHeight="1">
      <c r="A18" s="53"/>
      <c r="B18" s="230"/>
      <c r="C18" s="231"/>
      <c r="D18" s="232"/>
      <c r="E18" s="54"/>
      <c r="F18" s="54"/>
      <c r="G18" s="55"/>
      <c r="H18" s="76"/>
      <c r="I18" s="230"/>
      <c r="J18" s="232"/>
      <c r="K18" s="54"/>
      <c r="L18" s="57"/>
      <c r="M18" s="58"/>
      <c r="N18" s="59"/>
    </row>
    <row r="19" spans="1:14" ht="18" customHeight="1">
      <c r="A19" s="53"/>
      <c r="B19" s="230"/>
      <c r="C19" s="231"/>
      <c r="D19" s="232"/>
      <c r="E19" s="54"/>
      <c r="F19" s="54"/>
      <c r="G19" s="55"/>
      <c r="H19" s="76"/>
      <c r="I19" s="230"/>
      <c r="J19" s="232"/>
      <c r="K19" s="54"/>
      <c r="L19" s="57"/>
      <c r="M19" s="58"/>
      <c r="N19" s="59"/>
    </row>
    <row r="20" spans="1:14" ht="18" customHeight="1">
      <c r="A20" s="53"/>
      <c r="B20" s="230"/>
      <c r="C20" s="231"/>
      <c r="D20" s="232"/>
      <c r="E20" s="54"/>
      <c r="F20" s="54"/>
      <c r="G20" s="55"/>
      <c r="H20" s="76"/>
      <c r="I20" s="230"/>
      <c r="J20" s="232"/>
      <c r="K20" s="54"/>
      <c r="L20" s="57"/>
      <c r="M20" s="58"/>
      <c r="N20" s="59"/>
    </row>
    <row r="21" spans="1:14" ht="18" customHeight="1">
      <c r="A21" s="53"/>
      <c r="B21" s="230"/>
      <c r="C21" s="231"/>
      <c r="D21" s="232"/>
      <c r="E21" s="54"/>
      <c r="F21" s="54"/>
      <c r="G21" s="55"/>
      <c r="H21" s="76"/>
      <c r="I21" s="230"/>
      <c r="J21" s="232"/>
      <c r="K21" s="54"/>
      <c r="L21" s="57"/>
      <c r="M21" s="58"/>
      <c r="N21" s="59"/>
    </row>
    <row r="22" spans="1:14" ht="18" customHeight="1">
      <c r="A22" s="53"/>
      <c r="B22" s="230"/>
      <c r="C22" s="231"/>
      <c r="D22" s="232"/>
      <c r="E22" s="54"/>
      <c r="F22" s="54"/>
      <c r="G22" s="55"/>
      <c r="H22" s="76"/>
      <c r="I22" s="230"/>
      <c r="J22" s="232"/>
      <c r="K22" s="54"/>
      <c r="L22" s="57"/>
      <c r="M22" s="58"/>
      <c r="N22" s="59"/>
    </row>
    <row r="23" spans="1:14" ht="18" customHeight="1">
      <c r="A23" s="53"/>
      <c r="B23" s="230"/>
      <c r="C23" s="231"/>
      <c r="D23" s="232"/>
      <c r="E23" s="54"/>
      <c r="F23" s="54"/>
      <c r="G23" s="55"/>
      <c r="H23" s="76"/>
      <c r="I23" s="230"/>
      <c r="J23" s="232"/>
      <c r="K23" s="54"/>
      <c r="L23" s="57"/>
      <c r="M23" s="58"/>
      <c r="N23" s="59"/>
    </row>
    <row r="24" spans="1:14" ht="18" customHeight="1">
      <c r="A24" s="53"/>
      <c r="B24" s="230"/>
      <c r="C24" s="231"/>
      <c r="D24" s="232"/>
      <c r="E24" s="54"/>
      <c r="F24" s="54"/>
      <c r="G24" s="55"/>
      <c r="H24" s="76"/>
      <c r="I24" s="230"/>
      <c r="J24" s="232"/>
      <c r="K24" s="54"/>
      <c r="L24" s="57"/>
      <c r="M24" s="58"/>
      <c r="N24" s="59"/>
    </row>
    <row r="25" spans="1:14" ht="18" customHeight="1">
      <c r="A25" s="53"/>
      <c r="B25" s="230"/>
      <c r="C25" s="231"/>
      <c r="D25" s="232"/>
      <c r="E25" s="54"/>
      <c r="F25" s="54"/>
      <c r="G25" s="55"/>
      <c r="H25" s="76"/>
      <c r="I25" s="230"/>
      <c r="J25" s="232"/>
      <c r="K25" s="54"/>
      <c r="L25" s="57"/>
      <c r="M25" s="58"/>
      <c r="N25" s="59"/>
    </row>
    <row r="26" spans="1:14" ht="18" customHeight="1">
      <c r="A26" s="53"/>
      <c r="B26" s="230"/>
      <c r="C26" s="231"/>
      <c r="D26" s="232"/>
      <c r="E26" s="54"/>
      <c r="F26" s="54"/>
      <c r="G26" s="55"/>
      <c r="H26" s="76"/>
      <c r="I26" s="230"/>
      <c r="J26" s="232"/>
      <c r="K26" s="54"/>
      <c r="L26" s="57"/>
      <c r="M26" s="58"/>
      <c r="N26" s="59"/>
    </row>
    <row r="27" spans="1:14" ht="18" customHeight="1">
      <c r="A27" s="53"/>
      <c r="B27" s="230"/>
      <c r="C27" s="231"/>
      <c r="D27" s="232"/>
      <c r="E27" s="54"/>
      <c r="F27" s="54"/>
      <c r="G27" s="55"/>
      <c r="H27" s="76"/>
      <c r="I27" s="230"/>
      <c r="J27" s="232"/>
      <c r="K27" s="54"/>
      <c r="L27" s="57"/>
      <c r="M27" s="58"/>
      <c r="N27" s="59"/>
    </row>
    <row r="28" spans="1:14" ht="18" customHeight="1">
      <c r="A28" s="53"/>
      <c r="B28" s="230"/>
      <c r="C28" s="231"/>
      <c r="D28" s="232"/>
      <c r="E28" s="54"/>
      <c r="F28" s="54"/>
      <c r="G28" s="55"/>
      <c r="H28" s="76"/>
      <c r="I28" s="230"/>
      <c r="J28" s="232"/>
      <c r="K28" s="54"/>
      <c r="L28" s="57"/>
      <c r="M28" s="58"/>
      <c r="N28" s="59"/>
    </row>
    <row r="29" spans="1:14" ht="18" customHeight="1">
      <c r="A29" s="60"/>
      <c r="B29" s="237"/>
      <c r="C29" s="238"/>
      <c r="D29" s="239"/>
      <c r="E29" s="61"/>
      <c r="F29" s="61"/>
      <c r="G29" s="62"/>
      <c r="H29" s="98"/>
      <c r="I29" s="237"/>
      <c r="J29" s="239"/>
      <c r="K29" s="61"/>
      <c r="L29" s="64"/>
      <c r="M29" s="65"/>
      <c r="N29" s="66"/>
    </row>
    <row r="30" spans="1:14" ht="18" customHeight="1"/>
    <row r="31" spans="1:14" ht="18" customHeight="1"/>
    <row r="32" spans="1:14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</sheetData>
  <mergeCells count="50">
    <mergeCell ref="I17:J17"/>
    <mergeCell ref="I25:J25"/>
    <mergeCell ref="I26:J26"/>
    <mergeCell ref="I27:J27"/>
    <mergeCell ref="I28:J28"/>
    <mergeCell ref="I24:J24"/>
    <mergeCell ref="I29:J29"/>
    <mergeCell ref="I18:J18"/>
    <mergeCell ref="I19:J19"/>
    <mergeCell ref="I20:J20"/>
    <mergeCell ref="I21:J21"/>
    <mergeCell ref="I22:J22"/>
    <mergeCell ref="I23:J23"/>
    <mergeCell ref="B19:D19"/>
    <mergeCell ref="B20:D20"/>
    <mergeCell ref="B29:D29"/>
    <mergeCell ref="B22:D22"/>
    <mergeCell ref="B28:D28"/>
    <mergeCell ref="B26:D26"/>
    <mergeCell ref="B27:D27"/>
    <mergeCell ref="B21:D21"/>
    <mergeCell ref="B23:D23"/>
    <mergeCell ref="B24:D24"/>
    <mergeCell ref="B25:D25"/>
    <mergeCell ref="B12:D12"/>
    <mergeCell ref="B13:D13"/>
    <mergeCell ref="B14:D14"/>
    <mergeCell ref="B7:D7"/>
    <mergeCell ref="I7:J7"/>
    <mergeCell ref="E8:G8"/>
    <mergeCell ref="I8:J8"/>
    <mergeCell ref="I9:J9"/>
    <mergeCell ref="B8:D8"/>
    <mergeCell ref="E7:G7"/>
    <mergeCell ref="B17:D17"/>
    <mergeCell ref="B18:D18"/>
    <mergeCell ref="C2:K2"/>
    <mergeCell ref="C3:N3"/>
    <mergeCell ref="C4:N4"/>
    <mergeCell ref="B15:D15"/>
    <mergeCell ref="B16:D16"/>
    <mergeCell ref="I10:J10"/>
    <mergeCell ref="I11:J11"/>
    <mergeCell ref="I12:J12"/>
    <mergeCell ref="I13:J13"/>
    <mergeCell ref="I14:J14"/>
    <mergeCell ref="I15:J15"/>
    <mergeCell ref="I16:J16"/>
    <mergeCell ref="B10:D10"/>
    <mergeCell ref="B11:D11"/>
  </mergeCells>
  <dataValidations count="2">
    <dataValidation type="whole" operator="greaterThan" allowBlank="1" showInputMessage="1" showErrorMessage="1" sqref="A10:A29" xr:uid="{00000000-0002-0000-0A00-000000000000}">
      <formula1>0</formula1>
    </dataValidation>
    <dataValidation type="date" allowBlank="1" showInputMessage="1" showErrorMessage="1" sqref="N10:N29 L10:L29" xr:uid="{00000000-0002-0000-0A00-000001000000}">
      <formula1>36526</formula1>
      <formula2>237410</formula2>
    </dataValidation>
  </dataValidations>
  <pageMargins left="6.25E-2" right="3.125E-2" top="0.75" bottom="0.5" header="0.3" footer="0.3"/>
  <pageSetup orientation="landscape"/>
  <headerFooter>
    <oddHeader>&amp;C&amp;"Arial,Bold"Action Items - Recommendations
(แผนควบคุมความเสี่ยง)</oddHeader>
    <oddFooter>&amp;C&amp;P of &amp;N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2:O38"/>
  <sheetViews>
    <sheetView tabSelected="1" workbookViewId="0">
      <selection activeCell="C35" sqref="C35"/>
    </sheetView>
  </sheetViews>
  <sheetFormatPr defaultColWidth="9.109375" defaultRowHeight="13.8"/>
  <cols>
    <col min="1" max="1" width="9.109375" style="99" customWidth="1"/>
    <col min="2" max="2" width="11.33203125" style="129" customWidth="1"/>
    <col min="3" max="5" width="25.109375" style="129" customWidth="1"/>
    <col min="6" max="6" width="32.5546875" style="129" customWidth="1"/>
    <col min="7" max="10" width="16.6640625" style="99" customWidth="1"/>
    <col min="11" max="13" width="9.109375" style="99" customWidth="1"/>
    <col min="14" max="16384" width="9.109375" style="99"/>
  </cols>
  <sheetData>
    <row r="2" spans="1:15" customFormat="1" ht="30" customHeight="1">
      <c r="B2" s="298" t="s">
        <v>187</v>
      </c>
      <c r="C2" s="298"/>
      <c r="D2" s="298"/>
      <c r="E2" s="298"/>
      <c r="F2" s="298"/>
      <c r="G2" s="298"/>
      <c r="H2" s="298"/>
      <c r="I2" s="298"/>
      <c r="J2" s="298"/>
    </row>
    <row r="3" spans="1:15" customFormat="1" ht="15.75" customHeight="1">
      <c r="B3" s="101" t="s">
        <v>188</v>
      </c>
      <c r="C3" s="102"/>
      <c r="E3" s="103"/>
      <c r="F3" s="103"/>
      <c r="G3" s="103"/>
      <c r="H3" s="103"/>
      <c r="I3" s="103"/>
      <c r="J3" s="103"/>
      <c r="O3" s="104"/>
    </row>
    <row r="4" spans="1:15" s="130" customFormat="1" ht="18.75" customHeight="1">
      <c r="B4" s="171"/>
      <c r="C4" s="105" t="s">
        <v>189</v>
      </c>
      <c r="D4" s="159" t="s">
        <v>190</v>
      </c>
      <c r="E4" s="106" t="s">
        <v>191</v>
      </c>
      <c r="F4" s="107"/>
      <c r="G4" s="107"/>
      <c r="H4" s="107"/>
      <c r="I4" s="107"/>
      <c r="J4" s="107"/>
    </row>
    <row r="5" spans="1:15" s="130" customFormat="1" ht="18.75" customHeight="1">
      <c r="B5" s="170"/>
      <c r="C5" s="105" t="s">
        <v>192</v>
      </c>
      <c r="D5" s="159" t="s">
        <v>176</v>
      </c>
      <c r="E5" s="106" t="s">
        <v>193</v>
      </c>
      <c r="F5" s="107"/>
      <c r="G5" s="107"/>
      <c r="H5" s="107"/>
      <c r="I5" s="107"/>
      <c r="J5" s="107"/>
    </row>
    <row r="6" spans="1:15" s="130" customFormat="1" ht="18.75" customHeight="1">
      <c r="B6" s="169"/>
      <c r="C6" s="105" t="s">
        <v>194</v>
      </c>
      <c r="D6" s="159" t="s">
        <v>195</v>
      </c>
      <c r="E6" s="107" t="s">
        <v>196</v>
      </c>
      <c r="F6" s="107"/>
      <c r="G6" s="107"/>
      <c r="H6" s="107"/>
      <c r="I6" s="107"/>
      <c r="J6" s="107"/>
    </row>
    <row r="7" spans="1:15" s="130" customFormat="1" ht="18.75" customHeight="1">
      <c r="B7" s="168"/>
      <c r="C7" s="105" t="s">
        <v>197</v>
      </c>
      <c r="D7" s="159" t="s">
        <v>182</v>
      </c>
      <c r="E7" s="107" t="s">
        <v>198</v>
      </c>
      <c r="F7" s="108"/>
      <c r="G7" s="109"/>
      <c r="H7" s="109"/>
      <c r="I7" s="109"/>
      <c r="J7" s="109"/>
    </row>
    <row r="8" spans="1:15" s="130" customFormat="1" ht="20.25" customHeight="1">
      <c r="A8" s="110"/>
      <c r="B8" s="167"/>
      <c r="C8" s="105" t="s">
        <v>199</v>
      </c>
      <c r="D8" s="159" t="s">
        <v>200</v>
      </c>
      <c r="E8" s="107" t="s">
        <v>201</v>
      </c>
      <c r="F8" s="108"/>
      <c r="G8" s="109"/>
      <c r="H8" s="109"/>
      <c r="I8" s="109"/>
      <c r="J8" s="109"/>
    </row>
    <row r="9" spans="1:15" ht="14.4">
      <c r="D9"/>
    </row>
    <row r="10" spans="1:15" customFormat="1" ht="15" customHeight="1"/>
    <row r="11" spans="1:15" customFormat="1" ht="19.5" customHeight="1">
      <c r="B11" s="299" t="s">
        <v>202</v>
      </c>
      <c r="C11" s="111" t="s">
        <v>203</v>
      </c>
      <c r="D11" s="156" t="s">
        <v>204</v>
      </c>
      <c r="E11" s="302" t="s">
        <v>205</v>
      </c>
      <c r="F11" s="303"/>
      <c r="G11" s="303"/>
      <c r="H11" s="303"/>
      <c r="I11" s="304"/>
    </row>
    <row r="12" spans="1:15" customFormat="1" ht="12.75" customHeight="1">
      <c r="B12" s="300"/>
      <c r="C12" s="100" t="s">
        <v>206</v>
      </c>
      <c r="D12" s="305" t="s">
        <v>207</v>
      </c>
      <c r="E12" s="307" t="s">
        <v>182</v>
      </c>
      <c r="F12" s="309" t="s">
        <v>195</v>
      </c>
      <c r="G12" s="311" t="s">
        <v>176</v>
      </c>
      <c r="H12" s="312" t="s">
        <v>190</v>
      </c>
      <c r="I12" s="313" t="s">
        <v>190</v>
      </c>
    </row>
    <row r="13" spans="1:15" customFormat="1" ht="13.5" customHeight="1">
      <c r="B13" s="300"/>
      <c r="C13" s="112">
        <v>5</v>
      </c>
      <c r="D13" s="306"/>
      <c r="E13" s="308"/>
      <c r="F13" s="310"/>
      <c r="G13" s="310"/>
      <c r="H13" s="310"/>
      <c r="I13" s="293"/>
    </row>
    <row r="14" spans="1:15" customFormat="1" ht="13.5" customHeight="1">
      <c r="B14" s="300"/>
      <c r="C14" s="100" t="s">
        <v>208</v>
      </c>
      <c r="D14" s="305" t="s">
        <v>209</v>
      </c>
      <c r="E14" s="287" t="s">
        <v>182</v>
      </c>
      <c r="F14" s="289" t="s">
        <v>195</v>
      </c>
      <c r="G14" s="291" t="s">
        <v>176</v>
      </c>
      <c r="H14" s="292" t="s">
        <v>176</v>
      </c>
      <c r="I14" s="294" t="s">
        <v>190</v>
      </c>
    </row>
    <row r="15" spans="1:15" customFormat="1" ht="13.5" customHeight="1">
      <c r="B15" s="300"/>
      <c r="C15" s="112">
        <v>4</v>
      </c>
      <c r="D15" s="306"/>
      <c r="E15" s="288"/>
      <c r="F15" s="290"/>
      <c r="G15" s="290"/>
      <c r="H15" s="293"/>
      <c r="I15" s="295"/>
    </row>
    <row r="16" spans="1:15" customFormat="1" ht="12.75" customHeight="1">
      <c r="B16" s="300"/>
      <c r="C16" s="100" t="s">
        <v>210</v>
      </c>
      <c r="D16" s="316" t="s">
        <v>211</v>
      </c>
      <c r="E16" s="307" t="s">
        <v>182</v>
      </c>
      <c r="F16" s="318" t="s">
        <v>182</v>
      </c>
      <c r="G16" s="309" t="s">
        <v>195</v>
      </c>
      <c r="H16" s="327" t="s">
        <v>176</v>
      </c>
      <c r="I16" s="326" t="s">
        <v>176</v>
      </c>
    </row>
    <row r="17" spans="2:9" customFormat="1" ht="13.5" customHeight="1">
      <c r="B17" s="300"/>
      <c r="C17" s="112">
        <v>3</v>
      </c>
      <c r="D17" s="317"/>
      <c r="E17" s="288"/>
      <c r="F17" s="290"/>
      <c r="G17" s="290"/>
      <c r="H17" s="293"/>
      <c r="I17" s="295"/>
    </row>
    <row r="18" spans="2:9" customFormat="1" ht="12.75" customHeight="1">
      <c r="B18" s="300"/>
      <c r="C18" s="100" t="s">
        <v>212</v>
      </c>
      <c r="D18" s="316" t="s">
        <v>213</v>
      </c>
      <c r="E18" s="320" t="s">
        <v>200</v>
      </c>
      <c r="F18" s="318" t="s">
        <v>182</v>
      </c>
      <c r="G18" s="318" t="s">
        <v>182</v>
      </c>
      <c r="H18" s="314" t="s">
        <v>195</v>
      </c>
      <c r="I18" s="315" t="s">
        <v>195</v>
      </c>
    </row>
    <row r="19" spans="2:9" customFormat="1" ht="13.5" customHeight="1">
      <c r="B19" s="300"/>
      <c r="C19" s="112">
        <v>2</v>
      </c>
      <c r="D19" s="317"/>
      <c r="E19" s="288"/>
      <c r="F19" s="290"/>
      <c r="G19" s="290"/>
      <c r="H19" s="293"/>
      <c r="I19" s="295"/>
    </row>
    <row r="20" spans="2:9" customFormat="1" ht="12.75" customHeight="1">
      <c r="B20" s="300"/>
      <c r="C20" s="100" t="s">
        <v>214</v>
      </c>
      <c r="D20" s="316" t="s">
        <v>215</v>
      </c>
      <c r="E20" s="320" t="s">
        <v>200</v>
      </c>
      <c r="F20" s="322" t="s">
        <v>200</v>
      </c>
      <c r="G20" s="318" t="s">
        <v>182</v>
      </c>
      <c r="H20" s="324" t="s">
        <v>182</v>
      </c>
      <c r="I20" s="296" t="s">
        <v>182</v>
      </c>
    </row>
    <row r="21" spans="2:9" customFormat="1" ht="13.5" customHeight="1">
      <c r="B21" s="301"/>
      <c r="C21" s="113">
        <v>1</v>
      </c>
      <c r="D21" s="319"/>
      <c r="E21" s="321"/>
      <c r="F21" s="323"/>
      <c r="G21" s="323"/>
      <c r="H21" s="325"/>
      <c r="I21" s="297"/>
    </row>
    <row r="22" spans="2:9" ht="13.2">
      <c r="B22" s="299" t="s">
        <v>216</v>
      </c>
      <c r="C22" s="328" t="s">
        <v>217</v>
      </c>
      <c r="D22" s="329"/>
      <c r="E22" s="112">
        <v>1</v>
      </c>
      <c r="F22" s="112">
        <v>2</v>
      </c>
      <c r="G22" s="112">
        <v>3</v>
      </c>
      <c r="H22" s="112">
        <v>4</v>
      </c>
      <c r="I22" s="114">
        <v>5</v>
      </c>
    </row>
    <row r="23" spans="2:9" customFormat="1" ht="36" customHeight="1">
      <c r="B23" s="300"/>
      <c r="C23" s="330" t="s">
        <v>218</v>
      </c>
      <c r="D23" s="331"/>
      <c r="E23" s="115" t="s">
        <v>219</v>
      </c>
      <c r="F23" s="115" t="s">
        <v>220</v>
      </c>
      <c r="G23" s="115" t="s">
        <v>221</v>
      </c>
      <c r="H23" s="115" t="s">
        <v>222</v>
      </c>
      <c r="I23" s="116" t="s">
        <v>223</v>
      </c>
    </row>
    <row r="24" spans="2:9" customFormat="1" ht="24" customHeight="1">
      <c r="B24" s="300"/>
      <c r="C24" s="332" t="s">
        <v>224</v>
      </c>
      <c r="D24" s="333"/>
      <c r="E24" s="115" t="s">
        <v>225</v>
      </c>
      <c r="F24" s="115" t="s">
        <v>226</v>
      </c>
      <c r="G24" s="115" t="s">
        <v>227</v>
      </c>
      <c r="H24" s="115" t="s">
        <v>228</v>
      </c>
      <c r="I24" s="116" t="s">
        <v>228</v>
      </c>
    </row>
    <row r="25" spans="2:9" customFormat="1" ht="24.75" customHeight="1">
      <c r="B25" s="300"/>
      <c r="C25" s="334"/>
      <c r="D25" s="335"/>
      <c r="E25" s="115" t="s">
        <v>229</v>
      </c>
      <c r="F25" s="115" t="s">
        <v>230</v>
      </c>
      <c r="G25" s="115" t="s">
        <v>231</v>
      </c>
      <c r="H25" s="115" t="s">
        <v>232</v>
      </c>
      <c r="I25" s="116" t="s">
        <v>233</v>
      </c>
    </row>
    <row r="26" spans="2:9" customFormat="1" ht="13.5" customHeight="1">
      <c r="B26" s="300"/>
      <c r="C26" s="336" t="s">
        <v>234</v>
      </c>
      <c r="D26" s="337"/>
      <c r="E26" s="117" t="s">
        <v>235</v>
      </c>
      <c r="F26" s="117" t="s">
        <v>236</v>
      </c>
      <c r="G26" s="117" t="s">
        <v>237</v>
      </c>
      <c r="H26" s="117" t="s">
        <v>238</v>
      </c>
      <c r="I26" s="118" t="s">
        <v>239</v>
      </c>
    </row>
    <row r="27" spans="2:9" customFormat="1" ht="13.5" customHeight="1">
      <c r="B27" s="300"/>
      <c r="C27" s="100" t="s">
        <v>240</v>
      </c>
      <c r="D27" s="119" t="s">
        <v>241</v>
      </c>
      <c r="E27" s="120" t="s">
        <v>242</v>
      </c>
      <c r="F27" s="120" t="s">
        <v>243</v>
      </c>
      <c r="G27" s="120" t="s">
        <v>244</v>
      </c>
      <c r="H27" s="120" t="s">
        <v>245</v>
      </c>
      <c r="I27" s="121" t="s">
        <v>246</v>
      </c>
    </row>
    <row r="28" spans="2:9" customFormat="1" ht="13.5" customHeight="1">
      <c r="B28" s="300"/>
      <c r="C28" s="122" t="s">
        <v>247</v>
      </c>
      <c r="D28" s="121" t="s">
        <v>248</v>
      </c>
      <c r="E28" s="120" t="s">
        <v>249</v>
      </c>
      <c r="F28" s="120" t="s">
        <v>250</v>
      </c>
      <c r="G28" s="120" t="s">
        <v>251</v>
      </c>
      <c r="H28" s="120" t="s">
        <v>252</v>
      </c>
      <c r="I28" s="121" t="s">
        <v>253</v>
      </c>
    </row>
    <row r="29" spans="2:9" customFormat="1" ht="13.5" customHeight="1">
      <c r="B29" s="300"/>
      <c r="C29" s="123"/>
      <c r="D29" s="121" t="s">
        <v>254</v>
      </c>
      <c r="E29" s="120" t="s">
        <v>255</v>
      </c>
      <c r="F29" s="120" t="s">
        <v>256</v>
      </c>
      <c r="G29" s="120" t="s">
        <v>257</v>
      </c>
      <c r="H29" s="120" t="s">
        <v>251</v>
      </c>
      <c r="I29" s="121" t="s">
        <v>258</v>
      </c>
    </row>
    <row r="30" spans="2:9" customFormat="1" ht="36" customHeight="1">
      <c r="B30" s="300"/>
      <c r="C30" s="330" t="s">
        <v>259</v>
      </c>
      <c r="D30" s="331"/>
      <c r="E30" s="115" t="s">
        <v>260</v>
      </c>
      <c r="F30" s="115" t="s">
        <v>261</v>
      </c>
      <c r="G30" s="115" t="s">
        <v>262</v>
      </c>
      <c r="H30" s="115" t="s">
        <v>263</v>
      </c>
      <c r="I30" s="116" t="s">
        <v>264</v>
      </c>
    </row>
    <row r="31" spans="2:9" customFormat="1" ht="36" customHeight="1">
      <c r="B31" s="300"/>
      <c r="C31" s="332" t="s">
        <v>265</v>
      </c>
      <c r="D31" s="333"/>
      <c r="E31" s="115" t="s">
        <v>266</v>
      </c>
      <c r="F31" s="115" t="s">
        <v>267</v>
      </c>
      <c r="G31" s="115" t="s">
        <v>268</v>
      </c>
      <c r="H31" s="115" t="s">
        <v>269</v>
      </c>
      <c r="I31" s="116" t="s">
        <v>270</v>
      </c>
    </row>
    <row r="32" spans="2:9" customFormat="1" ht="24" customHeight="1">
      <c r="B32" s="300"/>
      <c r="C32" s="338"/>
      <c r="D32" s="339"/>
      <c r="E32" s="124"/>
      <c r="F32" s="115" t="s">
        <v>271</v>
      </c>
      <c r="G32" s="115" t="s">
        <v>272</v>
      </c>
      <c r="H32" s="115" t="s">
        <v>273</v>
      </c>
      <c r="I32" s="116" t="s">
        <v>274</v>
      </c>
    </row>
    <row r="33" spans="2:9" customFormat="1" ht="72.75" customHeight="1">
      <c r="B33" s="301"/>
      <c r="C33" s="340"/>
      <c r="D33" s="341"/>
      <c r="E33" s="125"/>
      <c r="F33" s="126" t="s">
        <v>275</v>
      </c>
      <c r="G33" s="126" t="s">
        <v>276</v>
      </c>
      <c r="H33" s="126" t="s">
        <v>277</v>
      </c>
      <c r="I33" s="127" t="s">
        <v>278</v>
      </c>
    </row>
    <row r="34" spans="2:9" customFormat="1" ht="15" customHeight="1"/>
    <row r="35" spans="2:9" customFormat="1" ht="15" customHeight="1">
      <c r="B35" s="128" t="s">
        <v>279</v>
      </c>
    </row>
    <row r="36" spans="2:9">
      <c r="B36" s="129" t="s">
        <v>280</v>
      </c>
    </row>
    <row r="37" spans="2:9">
      <c r="B37" s="129" t="s">
        <v>281</v>
      </c>
    </row>
    <row r="38" spans="2:9">
      <c r="B38" s="129" t="s">
        <v>282</v>
      </c>
    </row>
  </sheetData>
  <sheetProtection algorithmName="SHA-512" hashValue="5ndU+kLsAtf1Cou/s1Vdd6XJKR7vKRHmBpbrZXiZi53jUCjrLcWxHesPScNrwcW1wnNyHoHayXJ9mDifq5ECBw==" saltValue="tA+p/qqhfMhHuo7cqa5XwQ==" spinCount="100000" sheet="1" objects="1" scenarios="1"/>
  <mergeCells count="43">
    <mergeCell ref="B22:B33"/>
    <mergeCell ref="C22:D22"/>
    <mergeCell ref="C23:D23"/>
    <mergeCell ref="C24:D24"/>
    <mergeCell ref="C25:D25"/>
    <mergeCell ref="C26:D26"/>
    <mergeCell ref="C30:D30"/>
    <mergeCell ref="C31:D31"/>
    <mergeCell ref="C32:D32"/>
    <mergeCell ref="C33:D33"/>
    <mergeCell ref="I16:I17"/>
    <mergeCell ref="D18:D19"/>
    <mergeCell ref="E18:E19"/>
    <mergeCell ref="F18:F19"/>
    <mergeCell ref="G18:G19"/>
    <mergeCell ref="G16:G17"/>
    <mergeCell ref="H16:H17"/>
    <mergeCell ref="D20:D21"/>
    <mergeCell ref="E20:E21"/>
    <mergeCell ref="F20:F21"/>
    <mergeCell ref="G20:G21"/>
    <mergeCell ref="H20:H21"/>
    <mergeCell ref="I20:I21"/>
    <mergeCell ref="B2:J2"/>
    <mergeCell ref="B11:B21"/>
    <mergeCell ref="E11:I11"/>
    <mergeCell ref="D12:D13"/>
    <mergeCell ref="E12:E13"/>
    <mergeCell ref="F12:F13"/>
    <mergeCell ref="G12:G13"/>
    <mergeCell ref="H12:H13"/>
    <mergeCell ref="I12:I13"/>
    <mergeCell ref="D14:D15"/>
    <mergeCell ref="H18:H19"/>
    <mergeCell ref="I18:I19"/>
    <mergeCell ref="D16:D17"/>
    <mergeCell ref="E16:E17"/>
    <mergeCell ref="F16:F17"/>
    <mergeCell ref="E14:E15"/>
    <mergeCell ref="F14:F15"/>
    <mergeCell ref="G14:G15"/>
    <mergeCell ref="H14:H15"/>
    <mergeCell ref="I14:I15"/>
  </mergeCells>
  <pageMargins left="0.7" right="0.7" top="0.75" bottom="0.75" header="0.3" footer="0.3"/>
  <pageSetup paperSize="9"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A1F04F4D4D19A41ADC46D0A975F25FF" ma:contentTypeVersion="0" ma:contentTypeDescription="Create a new document." ma:contentTypeScope="" ma:versionID="205381bdb1b6f76e132d22b3802c4735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94135C9-E4DE-4608-BA2D-15BBFD995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D5F615A-FA02-4BCD-A180-F54549B372BB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C7FEB29-0CEF-41AE-B92C-884AFE64DD3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90</vt:i4>
      </vt:variant>
    </vt:vector>
  </HeadingPairs>
  <TitlesOfParts>
    <vt:vector size="102" baseType="lpstr">
      <vt:lpstr>metadata</vt:lpstr>
      <vt:lpstr>RiskRank</vt:lpstr>
      <vt:lpstr>Worksheet HAZOP-TPL_TLM</vt:lpstr>
      <vt:lpstr>Worksheet HAZOP-TPL</vt:lpstr>
      <vt:lpstr>Action Items-TPL</vt:lpstr>
      <vt:lpstr>GWMaster</vt:lpstr>
      <vt:lpstr>RiskMatrixMaster</vt:lpstr>
      <vt:lpstr>Worksheet NoCode</vt:lpstr>
      <vt:lpstr>P5-PID-Marked up Node</vt:lpstr>
      <vt:lpstr>oldP6-Worksheet HAZOP-Node1</vt:lpstr>
      <vt:lpstr>oldP7-Action Items</vt:lpstr>
      <vt:lpstr>Risk Ranking</vt:lpstr>
      <vt:lpstr>ActionByName1</vt:lpstr>
      <vt:lpstr>ActionItems</vt:lpstr>
      <vt:lpstr>Champion</vt:lpstr>
      <vt:lpstr>ChampionID</vt:lpstr>
      <vt:lpstr>Chemical</vt:lpstr>
      <vt:lpstr>ClosedP1</vt:lpstr>
      <vt:lpstr>Composition</vt:lpstr>
      <vt:lpstr>Corrosion</vt:lpstr>
      <vt:lpstr>metadata!DataArea</vt:lpstr>
      <vt:lpstr>Date</vt:lpstr>
      <vt:lpstr>Deviation</vt:lpstr>
      <vt:lpstr>Domain</vt:lpstr>
      <vt:lpstr>EditLink</vt:lpstr>
      <vt:lpstr>EditLinkWord</vt:lpstr>
      <vt:lpstr>Erosion</vt:lpstr>
      <vt:lpstr>Files</vt:lpstr>
      <vt:lpstr>FileVersion</vt:lpstr>
      <vt:lpstr>Flow</vt:lpstr>
      <vt:lpstr>GuidWord</vt:lpstr>
      <vt:lpstr>GW</vt:lpstr>
      <vt:lpstr>GWw</vt:lpstr>
      <vt:lpstr>HAZOPGUID</vt:lpstr>
      <vt:lpstr>HAZOPID</vt:lpstr>
      <vt:lpstr>HAZOPIndex</vt:lpstr>
      <vt:lpstr>HAZOPNo</vt:lpstr>
      <vt:lpstr>HAZOPRun</vt:lpstr>
      <vt:lpstr>'Worksheet NoCode'!HAZOPWorksheetBody</vt:lpstr>
      <vt:lpstr>HAZOPWorksheetBody</vt:lpstr>
      <vt:lpstr>Highw</vt:lpstr>
      <vt:lpstr>HostName</vt:lpstr>
      <vt:lpstr>Human</vt:lpstr>
      <vt:lpstr>Incident</vt:lpstr>
      <vt:lpstr>IndicatorP1</vt:lpstr>
      <vt:lpstr>Leader</vt:lpstr>
      <vt:lpstr>LeaderID</vt:lpstr>
      <vt:lpstr>Lessw</vt:lpstr>
      <vt:lpstr>Level</vt:lpstr>
      <vt:lpstr>Location</vt:lpstr>
      <vt:lpstr>Loww</vt:lpstr>
      <vt:lpstr>MasterFile</vt:lpstr>
      <vt:lpstr>MeetingDuration</vt:lpstr>
      <vt:lpstr>Members</vt:lpstr>
      <vt:lpstr>Mixing</vt:lpstr>
      <vt:lpstr>MOCNo</vt:lpstr>
      <vt:lpstr>MoCPart</vt:lpstr>
      <vt:lpstr>Modified</vt:lpstr>
      <vt:lpstr>ModifiedBy</vt:lpstr>
      <vt:lpstr>ModifiedByID</vt:lpstr>
      <vt:lpstr>Morew</vt:lpstr>
      <vt:lpstr>NodeCount</vt:lpstr>
      <vt:lpstr>NodeP1</vt:lpstr>
      <vt:lpstr>Now</vt:lpstr>
      <vt:lpstr>Other</vt:lpstr>
      <vt:lpstr>Other_Thanw</vt:lpstr>
      <vt:lpstr>Phase</vt:lpstr>
      <vt:lpstr>Plant</vt:lpstr>
      <vt:lpstr>Pressure</vt:lpstr>
      <vt:lpstr>Process</vt:lpstr>
      <vt:lpstr>ProcessDescription</vt:lpstr>
      <vt:lpstr>ProjectNo</vt:lpstr>
      <vt:lpstr>ProjectTitle</vt:lpstr>
      <vt:lpstr>Purpose</vt:lpstr>
      <vt:lpstr>QuaterIndex</vt:lpstr>
      <vt:lpstr>Reaction</vt:lpstr>
      <vt:lpstr>RecommendationInterlock_Template</vt:lpstr>
      <vt:lpstr>Reversew</vt:lpstr>
      <vt:lpstr>Revision</vt:lpstr>
      <vt:lpstr>RiskAfterRecommendation_Template</vt:lpstr>
      <vt:lpstr>RiskMatrix_EndImage</vt:lpstr>
      <vt:lpstr>RiskMatrix_Matrix</vt:lpstr>
      <vt:lpstr>RiskMatrix_RiskRankingColor</vt:lpstr>
      <vt:lpstr>RiskMatrix_RiskRankingName</vt:lpstr>
      <vt:lpstr>RiskMatrix_StartImage</vt:lpstr>
      <vt:lpstr>RiskRankMatrix</vt:lpstr>
      <vt:lpstr>RiskRankMatrixw</vt:lpstr>
      <vt:lpstr>RiskWithoutSafeguard_Template</vt:lpstr>
      <vt:lpstr>RiskWithSafeguard_Template</vt:lpstr>
      <vt:lpstr>SafeguardInterlock_Template</vt:lpstr>
      <vt:lpstr>Scope</vt:lpstr>
      <vt:lpstr>Scriber</vt:lpstr>
      <vt:lpstr>ScriberID</vt:lpstr>
      <vt:lpstr>Sequence</vt:lpstr>
      <vt:lpstr>Service_Failures</vt:lpstr>
      <vt:lpstr>SiteCollection</vt:lpstr>
      <vt:lpstr>Status</vt:lpstr>
      <vt:lpstr>Temperature</vt:lpstr>
      <vt:lpstr>Unit</vt:lpstr>
      <vt:lpstr>UserRoles</vt:lpstr>
      <vt:lpstr>Viscosity</vt:lpstr>
      <vt:lpstr>YearIndex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Thanasan T &lt;T-TE-AI&gt;</cp:lastModifiedBy>
  <cp:lastPrinted>2019-09-17T08:12:19Z</cp:lastPrinted>
  <dcterms:created xsi:type="dcterms:W3CDTF">2014-07-25T13:28:27Z</dcterms:created>
  <dcterms:modified xsi:type="dcterms:W3CDTF">2026-06-17T06:42:02Z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0x0101002A1F04F4D4D19A41ADC46D0A975F25FF</vt:lpwstr>
  </property>
</Properties>
</file>